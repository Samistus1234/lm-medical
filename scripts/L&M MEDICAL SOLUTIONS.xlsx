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Catalog" sheetId="1" r:id="rId1"/>
    <sheet name="Order" sheetId="2" r:id="rId2"/>
    <sheet name="Summary" sheetId="3" r:id="rId3"/>
    <sheet name="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<sst xmlns="http://schemas.openxmlformats.org/spreadsheetml/2006/main" count="713" uniqueCount="274">
  <si>
    <t>L&amp;M MEDICAL SOLUTIONS</t>
  </si>
  <si>
    <t>Orthopedic Catalog &amp; Pricing</t>
  </si>
  <si>
    <t>Merged from the handwritten sheets • Currency: USD (per note on source pages)</t>
  </si>
  <si>
    <t>Item Code</t>
  </si>
  <si>
    <t>Category</t>
  </si>
  <si>
    <t>Item Name</t>
  </si>
  <si>
    <t>Variant / Size</t>
  </si>
  <si>
    <t>Notes</t>
  </si>
  <si>
    <t>Stock Qty</t>
  </si>
  <si>
    <t>U.P (USD)</t>
  </si>
  <si>
    <t>Sale Price (USD)</t>
  </si>
  <si>
    <t>Stock Cost Value</t>
  </si>
  <si>
    <t>Stock Sale Value</t>
  </si>
  <si>
    <t>Add to Order</t>
  </si>
  <si>
    <t>CS35-L14</t>
  </si>
  <si>
    <t>Screws</t>
  </si>
  <si>
    <t>3.5 Cortex Screw</t>
  </si>
  <si>
    <t>L14</t>
  </si>
  <si>
    <t/>
  </si>
  <si>
    <t>CS35-L16</t>
  </si>
  <si>
    <t>L16</t>
  </si>
  <si>
    <t>Yes</t>
  </si>
  <si>
    <t>CS35-L18</t>
  </si>
  <si>
    <t>L18</t>
  </si>
  <si>
    <t>CS35-L20</t>
  </si>
  <si>
    <t>L20</t>
  </si>
  <si>
    <t>CS35-L22</t>
  </si>
  <si>
    <t>L22</t>
  </si>
  <si>
    <t>No</t>
  </si>
  <si>
    <t>CS35-L24</t>
  </si>
  <si>
    <t>L24</t>
  </si>
  <si>
    <t>CS45-L20</t>
  </si>
  <si>
    <t>4.5 Cortex Screw</t>
  </si>
  <si>
    <t>CS45-L22</t>
  </si>
  <si>
    <t>CS45-L24</t>
  </si>
  <si>
    <t>CS45-L26</t>
  </si>
  <si>
    <t>L26</t>
  </si>
  <si>
    <t>CS45-L30</t>
  </si>
  <si>
    <t>L30</t>
  </si>
  <si>
    <t>CS45-L32</t>
  </si>
  <si>
    <t>L32</t>
  </si>
  <si>
    <t>CS45-L34</t>
  </si>
  <si>
    <t>L34</t>
  </si>
  <si>
    <t>CS45-L36</t>
  </si>
  <si>
    <t>L36</t>
  </si>
  <si>
    <t>CS45-L38</t>
  </si>
  <si>
    <t>L38</t>
  </si>
  <si>
    <t>CS45-L40</t>
  </si>
  <si>
    <t>L40</t>
  </si>
  <si>
    <t>CS45-L42</t>
  </si>
  <si>
    <t>L42</t>
  </si>
  <si>
    <t>DCP35-5H</t>
  </si>
  <si>
    <t>Plates</t>
  </si>
  <si>
    <t>3.5 DCP Plate</t>
  </si>
  <si>
    <t>5 holes</t>
  </si>
  <si>
    <t>DCP35-6H</t>
  </si>
  <si>
    <t>6 holes</t>
  </si>
  <si>
    <t>DCP35-7H</t>
  </si>
  <si>
    <t>7 holes</t>
  </si>
  <si>
    <t>DCP35-8H</t>
  </si>
  <si>
    <t>8 holes</t>
  </si>
  <si>
    <t>DCP45B-7H</t>
  </si>
  <si>
    <t>4.5 DCP Broad Plate</t>
  </si>
  <si>
    <t>DCP45B-8H</t>
  </si>
  <si>
    <t>DCP45B-9H</t>
  </si>
  <si>
    <t>9 holes</t>
  </si>
  <si>
    <t>DCP45B-10H</t>
  </si>
  <si>
    <t>10 holes</t>
  </si>
  <si>
    <t>DCP45N-7H</t>
  </si>
  <si>
    <t>4.5 DCP Narrow Plate</t>
  </si>
  <si>
    <t>DCP45N-8H</t>
  </si>
  <si>
    <t>DCP45N-9H</t>
  </si>
  <si>
    <t>DCP45N-10H</t>
  </si>
  <si>
    <t>DCP45N-11H</t>
  </si>
  <si>
    <t>11 holes</t>
  </si>
  <si>
    <t>DCP45N-12H</t>
  </si>
  <si>
    <t>12 holes</t>
  </si>
  <si>
    <t>EXT-L</t>
  </si>
  <si>
    <t>External Fixator</t>
  </si>
  <si>
    <t>Large</t>
  </si>
  <si>
    <t>EXT-M</t>
  </si>
  <si>
    <t>Medium</t>
  </si>
  <si>
    <t>EXT-S</t>
  </si>
  <si>
    <t>Small</t>
  </si>
  <si>
    <t>KW-1.2</t>
  </si>
  <si>
    <t>Wires</t>
  </si>
  <si>
    <t>K-Wire</t>
  </si>
  <si>
    <t>1.2 mm</t>
  </si>
  <si>
    <t>KW-1.5</t>
  </si>
  <si>
    <t>1.5 mm</t>
  </si>
  <si>
    <t>KW-1.7</t>
  </si>
  <si>
    <t>1.7 mm</t>
  </si>
  <si>
    <t>KW-2.0</t>
  </si>
  <si>
    <t>2.0 mm</t>
  </si>
  <si>
    <t>CER-1</t>
  </si>
  <si>
    <t>Cerclage Wire</t>
  </si>
  <si>
    <t>TEN-1.5</t>
  </si>
  <si>
    <t>Nails</t>
  </si>
  <si>
    <t>Titanium Elastic Nail</t>
  </si>
  <si>
    <t>TEN-2.0</t>
  </si>
  <si>
    <t>TEN-2.5</t>
  </si>
  <si>
    <t>2.5 mm</t>
  </si>
  <si>
    <t>TEN-3.0</t>
  </si>
  <si>
    <t>3.0 mm</t>
  </si>
  <si>
    <t>TEN-3.5</t>
  </si>
  <si>
    <t>3.5 mm</t>
  </si>
  <si>
    <t>SCH-3.0</t>
  </si>
  <si>
    <t>Schanz Screws</t>
  </si>
  <si>
    <t>Schanz Screw</t>
  </si>
  <si>
    <t>SCH-3.5</t>
  </si>
  <si>
    <t>SCH-4.0</t>
  </si>
  <si>
    <t>4.0 mm</t>
  </si>
  <si>
    <t>SCH-4.5</t>
  </si>
  <si>
    <t>4.5 mm</t>
  </si>
  <si>
    <t>CCS40-L16</t>
  </si>
  <si>
    <t>Cancellous Screws</t>
  </si>
  <si>
    <t>4.0 Cancellous Screw</t>
  </si>
  <si>
    <t>Each length 20 pieces</t>
  </si>
  <si>
    <t>CCS40-L18</t>
  </si>
  <si>
    <t>CCS40-L20</t>
  </si>
  <si>
    <t>CCS40-L22</t>
  </si>
  <si>
    <t>CCS40-L24</t>
  </si>
  <si>
    <t>CCS40-L26</t>
  </si>
  <si>
    <t>CCS40-L28</t>
  </si>
  <si>
    <t>L28</t>
  </si>
  <si>
    <t>CCS40-L30</t>
  </si>
  <si>
    <t>DHS-5H</t>
  </si>
  <si>
    <t>DHS Plate</t>
  </si>
  <si>
    <t>DHS-4H</t>
  </si>
  <si>
    <t>4 holes</t>
  </si>
  <si>
    <t>LAG-L80</t>
  </si>
  <si>
    <t>Lag Screw</t>
  </si>
  <si>
    <t>L80</t>
  </si>
  <si>
    <t>Each length 10 pieces</t>
  </si>
  <si>
    <t>LAG-L85</t>
  </si>
  <si>
    <t>L85</t>
  </si>
  <si>
    <t>LAG-L90</t>
  </si>
  <si>
    <t>L90</t>
  </si>
  <si>
    <t>LAG-L95</t>
  </si>
  <si>
    <t>L95</t>
  </si>
  <si>
    <t>LAG-L100</t>
  </si>
  <si>
    <t>L100</t>
  </si>
  <si>
    <t>CAN40-L16</t>
  </si>
  <si>
    <t>Cannulated Screws</t>
  </si>
  <si>
    <t>4.0 Cannulated Screw</t>
  </si>
  <si>
    <t>CAN40-L18</t>
  </si>
  <si>
    <t>CAN40-L20</t>
  </si>
  <si>
    <t>CAN40-L22</t>
  </si>
  <si>
    <t>CAN40-L24</t>
  </si>
  <si>
    <t>CAN40-L26</t>
  </si>
  <si>
    <t>CAN40-L28</t>
  </si>
  <si>
    <t>CAN40-L30</t>
  </si>
  <si>
    <t>CAN40-L32</t>
  </si>
  <si>
    <t>CAN40-L34</t>
  </si>
  <si>
    <t>CAN40-L36</t>
  </si>
  <si>
    <t>CAN65-L30</t>
  </si>
  <si>
    <t>6.5 Cannulated Screw</t>
  </si>
  <si>
    <t>CAN65-L35</t>
  </si>
  <si>
    <t>L35</t>
  </si>
  <si>
    <t>CAN65-L40</t>
  </si>
  <si>
    <t>CAN65-L45</t>
  </si>
  <si>
    <t>L45</t>
  </si>
  <si>
    <t>CAN65-L50</t>
  </si>
  <si>
    <t>L50</t>
  </si>
  <si>
    <t>CAN65-L55</t>
  </si>
  <si>
    <t>L55</t>
  </si>
  <si>
    <t>CAN65-L60</t>
  </si>
  <si>
    <t>L60</t>
  </si>
  <si>
    <t>GAM-SET</t>
  </si>
  <si>
    <t>Gamma System</t>
  </si>
  <si>
    <t>Gamma Instrument Set</t>
  </si>
  <si>
    <t>GAM-NAIL-10</t>
  </si>
  <si>
    <t>Gamma Nail</t>
  </si>
  <si>
    <t>10 mm</t>
  </si>
  <si>
    <t>GAM-NAIL-11</t>
  </si>
  <si>
    <t>11 mm</t>
  </si>
  <si>
    <t>GAM-NAIL-12</t>
  </si>
  <si>
    <t>12 mm</t>
  </si>
  <si>
    <t>GAM-LAG-L80</t>
  </si>
  <si>
    <t>Lag Screw for Gamma Nail</t>
  </si>
  <si>
    <t>GAM-LAG-L85</t>
  </si>
  <si>
    <t>GAM-LAG-L90</t>
  </si>
  <si>
    <t>GAM-LAG-L95</t>
  </si>
  <si>
    <t>GAM-LAG-L100</t>
  </si>
  <si>
    <t>GAM-DLS-L26</t>
  </si>
  <si>
    <t>Distal Locking Screw for Gamma Nail</t>
  </si>
  <si>
    <t>GAM-DLS-L28</t>
  </si>
  <si>
    <t>GAM-DLS-L30</t>
  </si>
  <si>
    <t>GAM-DLS-L32</t>
  </si>
  <si>
    <t>GAM-DLS-L34</t>
  </si>
  <si>
    <t>GAM-DLS-L36</t>
  </si>
  <si>
    <t>GAM-DLS-L38</t>
  </si>
  <si>
    <t>GAM-DLS-L40</t>
  </si>
  <si>
    <t>DFLP-L-5H</t>
  </si>
  <si>
    <t>Locked Plates</t>
  </si>
  <si>
    <t>Distal Femur Locked Plate</t>
  </si>
  <si>
    <t>Left / 5 holes</t>
  </si>
  <si>
    <t>3 pieces each variant</t>
  </si>
  <si>
    <t>DFLP-L-7H</t>
  </si>
  <si>
    <t>Left / 7 holes</t>
  </si>
  <si>
    <t>DFLP-L-9H</t>
  </si>
  <si>
    <t>Left / 9 holes</t>
  </si>
  <si>
    <t>DFLP-L-11H</t>
  </si>
  <si>
    <t>Left / 11 holes</t>
  </si>
  <si>
    <t>DFLP-R-5H</t>
  </si>
  <si>
    <t>Right / 5 holes</t>
  </si>
  <si>
    <t>DFLP-R-7H</t>
  </si>
  <si>
    <t>Right / 7 holes</t>
  </si>
  <si>
    <t>DFLP-R-9H</t>
  </si>
  <si>
    <t>Right / 9 holes</t>
  </si>
  <si>
    <t>DFLP-R-11H</t>
  </si>
  <si>
    <t>Right / 11 holes</t>
  </si>
  <si>
    <t>PHLP-3H</t>
  </si>
  <si>
    <t>Proximal Humerus Locked Plate</t>
  </si>
  <si>
    <t>3 holes</t>
  </si>
  <si>
    <t>4 pieces each variant</t>
  </si>
  <si>
    <t>PHLP-4H</t>
  </si>
  <si>
    <t>PHLP-5H</t>
  </si>
  <si>
    <t>DTLP-L-6H</t>
  </si>
  <si>
    <t>Distal Tibia Locked Plate</t>
  </si>
  <si>
    <t>Left / 6 holes</t>
  </si>
  <si>
    <t>DTLP-L-7H</t>
  </si>
  <si>
    <t>DTLP-L-8H</t>
  </si>
  <si>
    <t>Left / 8 holes</t>
  </si>
  <si>
    <t>DTLP-R-6H</t>
  </si>
  <si>
    <t>Right / 6 holes</t>
  </si>
  <si>
    <t>DTLP-R-7H</t>
  </si>
  <si>
    <t>DTLP-R-8H</t>
  </si>
  <si>
    <t>Right / 8 holes</t>
  </si>
  <si>
    <t>PTLP-L-6H</t>
  </si>
  <si>
    <t>Proximal Tibia Locked Plate</t>
  </si>
  <si>
    <t>PTLP-L-7H</t>
  </si>
  <si>
    <t>PTLP-L-8H</t>
  </si>
  <si>
    <t>PTLP-R-6H</t>
  </si>
  <si>
    <t>PTLP-R-7H</t>
  </si>
  <si>
    <t>PTLP-R-8H</t>
  </si>
  <si>
    <t>LOCK50-MIX</t>
  </si>
  <si>
    <t>Locked Screws</t>
  </si>
  <si>
    <t>5.0 Locked Screws for Locked Plates</t>
  </si>
  <si>
    <t>L26-L75 mixed</t>
  </si>
  <si>
    <t>Original sheet notes: L26 to 75, each 10 pieces; individual lengths not fully legible</t>
  </si>
  <si>
    <t>LFLS-SET</t>
  </si>
  <si>
    <t>Systems</t>
  </si>
  <si>
    <t>Large Fragment Locked System Set</t>
  </si>
  <si>
    <t>Order Sheet</t>
  </si>
  <si>
    <t>Choose an item code, enter order quantity, and totals will calculate automatically.</t>
  </si>
  <si>
    <t>Summary</t>
  </si>
  <si>
    <t>Total Cost</t>
  </si>
  <si>
    <t>Total Sales</t>
  </si>
  <si>
    <t>Line</t>
  </si>
  <si>
    <t>Available Qty</t>
  </si>
  <si>
    <t>Order Qty</t>
  </si>
  <si>
    <t>Margin</t>
  </si>
  <si>
    <t>Inventory Summary</t>
  </si>
  <si>
    <t>Quick view of the merged orthopedic catalog with inventory values based on sale prices.</t>
  </si>
  <si>
    <t>Metric</t>
  </si>
  <si>
    <t>Value</t>
  </si>
  <si>
    <t>Total SKUs</t>
  </si>
  <si>
    <t>Total Units in Stock</t>
  </si>
  <si>
    <t>Total Cost Value</t>
  </si>
  <si>
    <t>Total Sale Value</t>
  </si>
  <si>
    <t>Units</t>
  </si>
  <si>
    <t>Cost Value</t>
  </si>
  <si>
    <t>Sale Value</t>
  </si>
  <si>
    <t>Notes &amp; Review Points</t>
  </si>
  <si>
    <t>Currency</t>
  </si>
  <si>
    <t>USD</t>
  </si>
  <si>
    <t>Source</t>
  </si>
  <si>
    <t>Three handwritten sheets provided in chat</t>
  </si>
  <si>
    <t>Review</t>
  </si>
  <si>
    <t>3.5 Cortex Screw L20 &amp; L22 were inferred because the photo was partially obscured</t>
  </si>
  <si>
    <t>5.0 Locked Screws were kept as one mixed-length line because individual lengths were not fully legible</t>
  </si>
  <si>
    <t>Use</t>
  </si>
  <si>
    <t>Update any prices/quantities directly in Catalog; Summary and Order formulas will recalculate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</si>
</sst>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name val="Carlito"/>
      <charset val="134"/>
    </font>
    <font>
      <b/>
      <sz val="16"/>
      <name val="Carlito"/>
      <charset val="134"/>
    </font>
    <font>
      <b/>
      <sz val="11"/>
      <color rgb="FFFFFFFF"/>
      <name val="Carlito"/>
      <charset val="134"/>
    </font>
    <font>
      <b/>
      <sz val="11"/>
      <color rgb="FF5B1420"/>
      <name val="Carlito"/>
      <charset val="134"/>
    </font>
    <font>
      <b/>
      <sz val="16"/>
      <color theme="8"/>
      <name val="Arial Black"/>
      <charset val="134"/>
    </font>
    <font>
      <i/>
      <sz val="11"/>
      <color rgb="FF5B1420"/>
      <name val="Carlito"/>
      <charset val="134"/>
    </font>
    <font>
      <b/>
      <sz val="11"/>
      <name val="Carlito"/>
      <charset val="134"/>
    </font>
    <font>
      <b/>
      <sz val="12"/>
      <color rgb="FFFFFFFF"/>
      <name val="Carlito"/>
      <charset val="134"/>
    </font>
    <font>
      <b/>
      <sz val="12"/>
      <name val="Carlito"/>
      <charset val="134"/>
    </font>
    <font>
      <sz val="11"/>
      <color rgb="FF7A3551"/>
      <name val="Carlito"/>
      <charset val="134"/>
    </font>
    <font>
      <b/>
      <sz val="12"/>
      <color theme="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7A1F2B"/>
        <bgColor indexed="64"/>
      </patternFill>
    </fill>
    <fill>
      <patternFill patternType="solid">
        <fgColor rgb="FFF8F4F5"/>
        <bgColor indexed="64"/>
      </patternFill>
    </fill>
    <fill>
      <patternFill patternType="solid">
        <fgColor rgb="FFEED9DE"/>
        <bgColor indexed="64"/>
      </patternFill>
    </fill>
    <fill>
      <patternFill patternType="solid">
        <fgColor rgb="FF5B142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7A3551"/>
        <bgColor indexed="64"/>
      </patternFill>
    </fill>
    <fill>
      <patternFill patternType="solid">
        <fgColor theme="3" tint="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1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6" applyNumberFormat="0" applyAlignment="0" applyProtection="0">
      <alignment vertical="center"/>
    </xf>
    <xf numFmtId="0" fontId="22" fillId="13" borderId="5" applyNumberFormat="0" applyAlignment="0" applyProtection="0">
      <alignment vertical="center"/>
    </xf>
    <xf numFmtId="0" fontId="23" fillId="14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4" fillId="0" borderId="0" xfId="0" applyFont="1" applyAlignment="1">
      <alignment horizontal="center"/>
    </xf>
    <xf numFmtId="0" fontId="5" fillId="4" borderId="0" xfId="0" applyFont="1" applyFill="1"/>
    <xf numFmtId="0" fontId="2" fillId="5" borderId="0" xfId="0" applyFont="1" applyFill="1"/>
    <xf numFmtId="3" fontId="6" fillId="6" borderId="0" xfId="0" applyNumberFormat="1" applyFont="1" applyFill="1"/>
    <xf numFmtId="3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/>
    </xf>
    <xf numFmtId="0" fontId="0" fillId="0" borderId="1" xfId="0" applyBorder="1"/>
    <xf numFmtId="0" fontId="3" fillId="3" borderId="1" xfId="0" applyFont="1" applyFill="1" applyBorder="1"/>
    <xf numFmtId="0" fontId="2" fillId="5" borderId="1" xfId="0" applyFont="1" applyFill="1" applyBorder="1" applyAlignment="1">
      <alignment horizontal="center"/>
    </xf>
    <xf numFmtId="3" fontId="0" fillId="0" borderId="1" xfId="0" applyNumberFormat="1" applyBorder="1"/>
    <xf numFmtId="3" fontId="3" fillId="3" borderId="1" xfId="0" applyNumberFormat="1" applyFont="1" applyFill="1" applyBorder="1"/>
    <xf numFmtId="3" fontId="6" fillId="6" borderId="1" xfId="0" applyNumberFormat="1" applyFont="1" applyFill="1" applyBorder="1"/>
    <xf numFmtId="3" fontId="2" fillId="5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1" xfId="0" applyFont="1" applyBorder="1" applyAlignment="1">
      <alignment wrapText="1"/>
    </xf>
    <xf numFmtId="3" fontId="8" fillId="0" borderId="1" xfId="0" applyNumberFormat="1" applyFont="1" applyBorder="1" applyAlignment="1">
      <alignment wrapText="1"/>
    </xf>
    <xf numFmtId="3" fontId="8" fillId="7" borderId="1" xfId="0" applyNumberFormat="1" applyFont="1" applyFill="1" applyBorder="1" applyAlignment="1">
      <alignment wrapText="1"/>
    </xf>
    <xf numFmtId="3" fontId="8" fillId="8" borderId="1" xfId="0" applyNumberFormat="1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9" fillId="9" borderId="0" xfId="0" applyFont="1" applyFill="1"/>
    <xf numFmtId="0" fontId="0" fillId="10" borderId="0" xfId="0" applyFill="1"/>
    <xf numFmtId="0" fontId="7" fillId="5" borderId="1" xfId="0" applyFont="1" applyFill="1" applyBorder="1"/>
    <xf numFmtId="0" fontId="8" fillId="8" borderId="1" xfId="0" applyFont="1" applyFill="1" applyBorder="1"/>
    <xf numFmtId="3" fontId="10" fillId="0" borderId="1" xfId="0" applyNumberFormat="1" applyFont="1" applyBorder="1" applyAlignment="1">
      <alignment wrapText="1"/>
    </xf>
    <xf numFmtId="0" fontId="0" fillId="8" borderId="1" xfId="0" applyFill="1" applyBorder="1" applyAlignment="1">
      <alignment wrapText="1"/>
    </xf>
    <xf numFmtId="0" fontId="8" fillId="8" borderId="1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font>
        <b val="1"/>
        <sz val="12"/>
      </font>
    </dxf>
    <dxf>
      <font>
        <b val="1"/>
        <sz val="12"/>
      </font>
    </dxf>
    <dxf>
      <font>
        <b val="1"/>
        <sz val="12"/>
      </font>
    </dxf>
    <dxf>
      <font>
        <b val="1"/>
        <sz val="12"/>
      </font>
    </dxf>
    <dxf>
      <font>
        <b val="1"/>
        <sz val="12"/>
      </font>
    </dxf>
    <dxf>
      <font>
        <b val="1"/>
        <sz val="12"/>
      </font>
    </dxf>
    <dxf>
      <font>
        <b val="1"/>
        <sz val="12"/>
      </font>
    </dxf>
    <dxf>
      <font>
        <b val="1"/>
        <sz val="12"/>
      </font>
    </dxf>
    <dxf>
      <font>
        <b val="1"/>
        <color rgb="FFB42318"/>
      </font>
      <fill>
        <patternFill patternType="solid">
          <bgColor rgb="FFFDECEC"/>
        </patternFill>
      </fill>
    </dxf>
    <dxf>
      <font>
        <b val="1"/>
        <color rgb="FFB42318"/>
      </font>
      <fill>
        <patternFill patternType="solid">
          <bgColor rgb="FFFDECE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7A355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Units by Category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"Units"</c:f>
              <c:strCache>
                <c:ptCount val="1"/>
                <c:pt idx="0">
                  <c:v>Units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Summary!$A$12:$A$23</c:f>
              <c:strCache>
                <c:ptCount val="12"/>
                <c:pt idx="0">
                  <c:v>Category</c:v>
                </c:pt>
                <c:pt idx="1">
                  <c:v>Cancellous Screws</c:v>
                </c:pt>
                <c:pt idx="2">
                  <c:v>Cannulated Screws</c:v>
                </c:pt>
                <c:pt idx="3">
                  <c:v>External Fixator</c:v>
                </c:pt>
                <c:pt idx="4">
                  <c:v>Gamma System</c:v>
                </c:pt>
                <c:pt idx="5">
                  <c:v>Locked Plates</c:v>
                </c:pt>
                <c:pt idx="6">
                  <c:v>Locked Screws</c:v>
                </c:pt>
                <c:pt idx="7">
                  <c:v>Nails</c:v>
                </c:pt>
                <c:pt idx="8">
                  <c:v>Plates</c:v>
                </c:pt>
                <c:pt idx="9">
                  <c:v>Schanz Screws</c:v>
                </c:pt>
                <c:pt idx="10">
                  <c:v>Screws</c:v>
                </c:pt>
                <c:pt idx="11">
                  <c:v>Systems</c:v>
                </c:pt>
              </c:strCache>
            </c:strRef>
          </c:cat>
          <c:val>
            <c:numRef>
              <c:f>Summary!$B$12:$B$23</c:f>
              <c:numCache>
                <c:formatCode>General</c:formatCode>
                <c:ptCount val="12"/>
                <c:pt idx="0">
                  <c:v>0</c:v>
                </c:pt>
                <c:pt idx="1" c:formatCode="#,##0">
                  <c:v>0</c:v>
                </c:pt>
                <c:pt idx="2" c:formatCode="#,##0">
                  <c:v>160</c:v>
                </c:pt>
                <c:pt idx="3" c:formatCode="#,##0">
                  <c:v>180</c:v>
                </c:pt>
                <c:pt idx="4" c:formatCode="#,##0">
                  <c:v>65</c:v>
                </c:pt>
                <c:pt idx="5" c:formatCode="#,##0">
                  <c:v>181</c:v>
                </c:pt>
                <c:pt idx="6" c:formatCode="#,##0">
                  <c:v>72</c:v>
                </c:pt>
                <c:pt idx="7" c:formatCode="#,##0">
                  <c:v>130</c:v>
                </c:pt>
                <c:pt idx="8" c:formatCode="#,##0">
                  <c:v>450</c:v>
                </c:pt>
                <c:pt idx="9" c:formatCode="#,##0">
                  <c:v>170</c:v>
                </c:pt>
                <c:pt idx="10" c:formatCode="#,##0">
                  <c:v>200</c:v>
                </c:pt>
                <c:pt idx="11" c:formatCode="#,##0">
                  <c:v>1460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aa7c5c-68f8-4885-8247-46dac0f63bf3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>
      <xdr:nvGraphicFramePr>
        <xdr:cNvPr id="2" name="Chart"/>
        <xdr:cNvGraphicFramePr/>
      </xdr:nvGraphicFramePr>
      <xdr:xfrm>
        <a:off x="5867400" y="655320"/>
        <a:ext cx="6172200" cy="2979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atalogTable" displayName="CatalogTable" ref="A4:J127">
  <tableColumns count="10">
    <tableColumn id="1" name="Item Code"/>
    <tableColumn id="2" name="Category"/>
    <tableColumn id="3" name="Item Name" dataDxfId="0"/>
    <tableColumn id="4" name="Variant / Size" dataDxfId="1"/>
    <tableColumn id="5" name="Notes" dataDxfId="2"/>
    <tableColumn id="6" name="Stock Qty" dataDxfId="3"/>
    <tableColumn id="7" name="U.P (USD)" dataDxfId="4"/>
    <tableColumn id="8" name="Sale Price (USD)" dataDxfId="5"/>
    <tableColumn id="9" name="Stock Cost Value" dataDxfId="6"/>
    <tableColumn id="10" name="Stock Sale Value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rderTable" displayName="OrderTable" ref="A5:K35">
  <tableColumns count="11">
    <tableColumn id="1" name="Line"/>
    <tableColumn id="2" name="Item Code"/>
    <tableColumn id="3" name="Item Name"/>
    <tableColumn id="4" name="Variant / Size"/>
    <tableColumn id="5" name="Available Qty"/>
    <tableColumn id="6" name="Order Qty"/>
    <tableColumn id="7" name="U.P (USD)"/>
    <tableColumn id="8" name="Sale Price (USD)"/>
    <tableColumn id="9" name="Total Cost"/>
    <tableColumn id="10" name="Total Sales"/>
    <tableColumn id="11" name="Marg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mmaryTable" displayName="SummaryTable" ref="A11:D23">
  <tableColumns count="4">
    <tableColumn id="1" name="Category"/>
    <tableColumn id="2" name="Units"/>
    <tableColumn id="3" name="Cost Value"/>
    <tableColumn id="4" name="Sale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8"/>
  <sheetViews>
    <sheetView topLeftCell="A91" workbookViewId="0">
      <selection activeCell="K2" sqref="K2"/>
    </sheetView>
  </sheetViews>
  <sheetFormatPr defaultColWidth="9" defaultRowHeight="13.8"/>
  <cols>
    <col min="1" max="1" width="14" customWidth="1"/>
    <col min="2" max="2" width="18" customWidth="1"/>
    <col min="3" max="3" width="37.6" customWidth="1"/>
    <col min="4" max="4" width="14.5" customWidth="1"/>
    <col min="5" max="5" width="12.8" customWidth="1"/>
    <col min="6" max="6" width="10" customWidth="1"/>
    <col min="7" max="7" width="14" customWidth="1"/>
    <col min="8" max="8" width="10.4" customWidth="1"/>
    <col min="9" max="9" width="12" customWidth="1"/>
    <col min="10" max="10" width="11" customWidth="1"/>
    <col min="11" max="11" width="12.9" customWidth="1"/>
  </cols>
  <sheetData>
    <row r="1" ht="24" customHeight="1" spans="1:1">
      <c r="A1" s="4" t="s">
        <v>0</v>
      </c>
    </row>
    <row r="2" spans="1:11">
      <c r="A2" s="18" t="s">
        <v>1</v>
      </c>
      <c r="K2" s="28"/>
    </row>
    <row r="3" spans="1:1">
      <c r="A3" s="19" t="s">
        <v>2</v>
      </c>
    </row>
    <row r="4" spans="11:11">
      <c r="K4" s="29"/>
    </row>
    <row r="5" ht="31.2" spans="1:11">
      <c r="A5" s="20" t="s">
        <v>3</v>
      </c>
      <c r="B5" s="20" t="s">
        <v>4</v>
      </c>
      <c r="C5" s="21" t="s">
        <v>5</v>
      </c>
      <c r="D5" s="21" t="s">
        <v>6</v>
      </c>
      <c r="E5" s="21" t="s">
        <v>7</v>
      </c>
      <c r="F5" s="21" t="s">
        <v>8</v>
      </c>
      <c r="G5" s="21" t="s">
        <v>9</v>
      </c>
      <c r="H5" s="21" t="s">
        <v>10</v>
      </c>
      <c r="I5" s="21" t="s">
        <v>11</v>
      </c>
      <c r="J5" s="21" t="s">
        <v>12</v>
      </c>
      <c r="K5" s="30" t="s">
        <v>13</v>
      </c>
    </row>
    <row r="6" ht="17.6" customHeight="1" spans="1:11">
      <c r="A6" s="22" t="s">
        <v>14</v>
      </c>
      <c r="B6" s="22" t="s">
        <v>15</v>
      </c>
      <c r="C6" s="23" t="s">
        <v>16</v>
      </c>
      <c r="D6" s="23" t="s">
        <v>17</v>
      </c>
      <c r="E6" s="23" t="s">
        <v>18</v>
      </c>
      <c r="F6" s="24">
        <v>100</v>
      </c>
      <c r="G6" s="24">
        <v>4000</v>
      </c>
      <c r="H6" s="24">
        <v>13000</v>
      </c>
      <c r="I6" s="24" t="e">
        <f t="shared" ref="I6:I69" si="0">F5*G5</f>
        <v>#VALUE!</v>
      </c>
      <c r="J6" s="24" t="e">
        <f t="shared" ref="J6:J69" si="1">F5*H5</f>
        <v>#VALUE!</v>
      </c>
      <c r="K6" s="31"/>
    </row>
    <row r="7" ht="17.6" customHeight="1" spans="1:11">
      <c r="A7" s="22" t="s">
        <v>19</v>
      </c>
      <c r="B7" s="22" t="s">
        <v>15</v>
      </c>
      <c r="C7" s="23" t="s">
        <v>16</v>
      </c>
      <c r="D7" s="23" t="s">
        <v>20</v>
      </c>
      <c r="E7" s="23" t="s">
        <v>18</v>
      </c>
      <c r="F7" s="24">
        <v>100</v>
      </c>
      <c r="G7" s="24">
        <v>4000</v>
      </c>
      <c r="H7" s="24">
        <v>13000</v>
      </c>
      <c r="I7" s="24">
        <f t="shared" si="0"/>
        <v>400000</v>
      </c>
      <c r="J7" s="24">
        <f t="shared" si="1"/>
        <v>1300000</v>
      </c>
      <c r="K7" s="31" t="s">
        <v>21</v>
      </c>
    </row>
    <row r="8" ht="17.6" customHeight="1" spans="1:11">
      <c r="A8" s="22" t="s">
        <v>22</v>
      </c>
      <c r="B8" s="22" t="s">
        <v>15</v>
      </c>
      <c r="C8" s="23" t="s">
        <v>16</v>
      </c>
      <c r="D8" s="23" t="s">
        <v>23</v>
      </c>
      <c r="E8" s="23" t="s">
        <v>18</v>
      </c>
      <c r="F8" s="24">
        <v>100</v>
      </c>
      <c r="G8" s="24">
        <v>4000</v>
      </c>
      <c r="H8" s="24">
        <v>13000</v>
      </c>
      <c r="I8" s="24">
        <f t="shared" si="0"/>
        <v>400000</v>
      </c>
      <c r="J8" s="24">
        <f t="shared" si="1"/>
        <v>1300000</v>
      </c>
      <c r="K8" s="31"/>
    </row>
    <row r="9" ht="17.6" customHeight="1" spans="1:11">
      <c r="A9" s="22" t="s">
        <v>24</v>
      </c>
      <c r="B9" s="22" t="s">
        <v>15</v>
      </c>
      <c r="C9" s="23" t="s">
        <v>16</v>
      </c>
      <c r="D9" s="23" t="s">
        <v>25</v>
      </c>
      <c r="E9" s="23"/>
      <c r="F9" s="24">
        <v>100</v>
      </c>
      <c r="G9" s="24">
        <v>4000</v>
      </c>
      <c r="H9" s="24">
        <v>13000</v>
      </c>
      <c r="I9" s="24">
        <f t="shared" si="0"/>
        <v>400000</v>
      </c>
      <c r="J9" s="24">
        <f t="shared" si="1"/>
        <v>1300000</v>
      </c>
      <c r="K9" s="31"/>
    </row>
    <row r="10" ht="17.6" customHeight="1" spans="1:11">
      <c r="A10" s="22" t="s">
        <v>26</v>
      </c>
      <c r="B10" s="22" t="s">
        <v>15</v>
      </c>
      <c r="C10" s="23" t="s">
        <v>16</v>
      </c>
      <c r="D10" s="23" t="s">
        <v>27</v>
      </c>
      <c r="E10" s="23"/>
      <c r="F10" s="24">
        <v>100</v>
      </c>
      <c r="G10" s="24">
        <v>4000</v>
      </c>
      <c r="H10" s="24">
        <v>13000</v>
      </c>
      <c r="I10" s="24">
        <f t="shared" si="0"/>
        <v>400000</v>
      </c>
      <c r="J10" s="24">
        <f t="shared" si="1"/>
        <v>1300000</v>
      </c>
      <c r="K10" s="31" t="s">
        <v>28</v>
      </c>
    </row>
    <row r="11" ht="17.6" customHeight="1" spans="1:11">
      <c r="A11" s="22" t="s">
        <v>29</v>
      </c>
      <c r="B11" s="22" t="s">
        <v>15</v>
      </c>
      <c r="C11" s="23" t="s">
        <v>16</v>
      </c>
      <c r="D11" s="23" t="s">
        <v>30</v>
      </c>
      <c r="E11" s="23" t="s">
        <v>18</v>
      </c>
      <c r="F11" s="24">
        <v>50</v>
      </c>
      <c r="G11" s="24">
        <v>4000</v>
      </c>
      <c r="H11" s="24">
        <v>13000</v>
      </c>
      <c r="I11" s="24">
        <f t="shared" si="0"/>
        <v>400000</v>
      </c>
      <c r="J11" s="24">
        <f t="shared" si="1"/>
        <v>1300000</v>
      </c>
      <c r="K11" s="31"/>
    </row>
    <row r="12" ht="17.6" customHeight="1" spans="1:11">
      <c r="A12" s="22" t="s">
        <v>31</v>
      </c>
      <c r="B12" s="22" t="s">
        <v>15</v>
      </c>
      <c r="C12" s="23" t="s">
        <v>32</v>
      </c>
      <c r="D12" s="23" t="s">
        <v>25</v>
      </c>
      <c r="E12" s="23" t="s">
        <v>18</v>
      </c>
      <c r="F12" s="24">
        <v>30</v>
      </c>
      <c r="G12" s="24">
        <v>4000</v>
      </c>
      <c r="H12" s="24">
        <v>15000</v>
      </c>
      <c r="I12" s="24">
        <f t="shared" si="0"/>
        <v>200000</v>
      </c>
      <c r="J12" s="24">
        <f t="shared" si="1"/>
        <v>650000</v>
      </c>
      <c r="K12" s="31" t="s">
        <v>21</v>
      </c>
    </row>
    <row r="13" ht="17.6" customHeight="1" spans="1:11">
      <c r="A13" s="22" t="s">
        <v>33</v>
      </c>
      <c r="B13" s="22" t="s">
        <v>15</v>
      </c>
      <c r="C13" s="23" t="s">
        <v>32</v>
      </c>
      <c r="D13" s="23" t="s">
        <v>27</v>
      </c>
      <c r="E13" s="23" t="s">
        <v>18</v>
      </c>
      <c r="F13" s="24">
        <v>30</v>
      </c>
      <c r="G13" s="24">
        <v>4000</v>
      </c>
      <c r="H13" s="24">
        <v>15000</v>
      </c>
      <c r="I13" s="24">
        <f t="shared" si="0"/>
        <v>120000</v>
      </c>
      <c r="J13" s="24">
        <f t="shared" si="1"/>
        <v>450000</v>
      </c>
      <c r="K13" s="31"/>
    </row>
    <row r="14" ht="17.6" customHeight="1" spans="1:11">
      <c r="A14" s="22" t="s">
        <v>34</v>
      </c>
      <c r="B14" s="22" t="s">
        <v>15</v>
      </c>
      <c r="C14" s="23" t="s">
        <v>32</v>
      </c>
      <c r="D14" s="23" t="s">
        <v>30</v>
      </c>
      <c r="E14" s="23" t="s">
        <v>18</v>
      </c>
      <c r="F14" s="24">
        <v>50</v>
      </c>
      <c r="G14" s="24">
        <v>4000</v>
      </c>
      <c r="H14" s="24">
        <v>15000</v>
      </c>
      <c r="I14" s="24">
        <f t="shared" si="0"/>
        <v>120000</v>
      </c>
      <c r="J14" s="24">
        <f t="shared" si="1"/>
        <v>450000</v>
      </c>
      <c r="K14" s="31"/>
    </row>
    <row r="15" ht="17.6" customHeight="1" spans="1:11">
      <c r="A15" s="22" t="s">
        <v>35</v>
      </c>
      <c r="B15" s="22" t="s">
        <v>15</v>
      </c>
      <c r="C15" s="23" t="s">
        <v>32</v>
      </c>
      <c r="D15" s="23" t="s">
        <v>36</v>
      </c>
      <c r="E15" s="23" t="s">
        <v>18</v>
      </c>
      <c r="F15" s="24">
        <v>50</v>
      </c>
      <c r="G15" s="24">
        <v>4000</v>
      </c>
      <c r="H15" s="24">
        <v>15000</v>
      </c>
      <c r="I15" s="24">
        <f t="shared" si="0"/>
        <v>200000</v>
      </c>
      <c r="J15" s="24">
        <f t="shared" si="1"/>
        <v>750000</v>
      </c>
      <c r="K15" s="31"/>
    </row>
    <row r="16" ht="17.6" customHeight="1" spans="1:11">
      <c r="A16" s="22" t="s">
        <v>37</v>
      </c>
      <c r="B16" s="22" t="s">
        <v>15</v>
      </c>
      <c r="C16" s="23" t="s">
        <v>32</v>
      </c>
      <c r="D16" s="23" t="s">
        <v>38</v>
      </c>
      <c r="E16" s="23" t="s">
        <v>18</v>
      </c>
      <c r="F16" s="24">
        <v>100</v>
      </c>
      <c r="G16" s="24">
        <v>4000</v>
      </c>
      <c r="H16" s="24">
        <v>15000</v>
      </c>
      <c r="I16" s="24">
        <f t="shared" si="0"/>
        <v>200000</v>
      </c>
      <c r="J16" s="24">
        <f t="shared" si="1"/>
        <v>750000</v>
      </c>
      <c r="K16" s="31"/>
    </row>
    <row r="17" ht="17.6" customHeight="1" spans="1:11">
      <c r="A17" s="22" t="s">
        <v>39</v>
      </c>
      <c r="B17" s="22" t="s">
        <v>15</v>
      </c>
      <c r="C17" s="23" t="s">
        <v>32</v>
      </c>
      <c r="D17" s="23" t="s">
        <v>40</v>
      </c>
      <c r="E17" s="23" t="s">
        <v>18</v>
      </c>
      <c r="F17" s="24">
        <v>100</v>
      </c>
      <c r="G17" s="24">
        <v>4000</v>
      </c>
      <c r="H17" s="24">
        <v>15000</v>
      </c>
      <c r="I17" s="24">
        <f t="shared" si="0"/>
        <v>400000</v>
      </c>
      <c r="J17" s="24">
        <f t="shared" si="1"/>
        <v>1500000</v>
      </c>
      <c r="K17" s="31" t="s">
        <v>28</v>
      </c>
    </row>
    <row r="18" ht="17.6" customHeight="1" spans="1:11">
      <c r="A18" s="22" t="s">
        <v>41</v>
      </c>
      <c r="B18" s="22" t="s">
        <v>15</v>
      </c>
      <c r="C18" s="23" t="s">
        <v>32</v>
      </c>
      <c r="D18" s="23" t="s">
        <v>42</v>
      </c>
      <c r="E18" s="23" t="s">
        <v>18</v>
      </c>
      <c r="F18" s="24">
        <v>100</v>
      </c>
      <c r="G18" s="24">
        <v>4000</v>
      </c>
      <c r="H18" s="24">
        <v>15000</v>
      </c>
      <c r="I18" s="24">
        <f t="shared" si="0"/>
        <v>400000</v>
      </c>
      <c r="J18" s="24">
        <f t="shared" si="1"/>
        <v>1500000</v>
      </c>
      <c r="K18" s="31"/>
    </row>
    <row r="19" ht="17.6" customHeight="1" spans="1:11">
      <c r="A19" s="22" t="s">
        <v>43</v>
      </c>
      <c r="B19" s="22" t="s">
        <v>15</v>
      </c>
      <c r="C19" s="23" t="s">
        <v>32</v>
      </c>
      <c r="D19" s="23" t="s">
        <v>44</v>
      </c>
      <c r="E19" s="23" t="s">
        <v>18</v>
      </c>
      <c r="F19" s="24">
        <v>100</v>
      </c>
      <c r="G19" s="24">
        <v>4000</v>
      </c>
      <c r="H19" s="24">
        <v>15000</v>
      </c>
      <c r="I19" s="24">
        <f t="shared" si="0"/>
        <v>400000</v>
      </c>
      <c r="J19" s="24">
        <f t="shared" si="1"/>
        <v>1500000</v>
      </c>
      <c r="K19" s="31"/>
    </row>
    <row r="20" ht="17.6" customHeight="1" spans="1:11">
      <c r="A20" s="22" t="s">
        <v>45</v>
      </c>
      <c r="B20" s="22" t="s">
        <v>15</v>
      </c>
      <c r="C20" s="23" t="s">
        <v>32</v>
      </c>
      <c r="D20" s="23" t="s">
        <v>46</v>
      </c>
      <c r="E20" s="23" t="s">
        <v>18</v>
      </c>
      <c r="F20" s="24">
        <v>100</v>
      </c>
      <c r="G20" s="24">
        <v>4000</v>
      </c>
      <c r="H20" s="24">
        <v>15000</v>
      </c>
      <c r="I20" s="24">
        <f t="shared" si="0"/>
        <v>400000</v>
      </c>
      <c r="J20" s="24">
        <f t="shared" si="1"/>
        <v>1500000</v>
      </c>
      <c r="K20" s="31"/>
    </row>
    <row r="21" ht="17.6" customHeight="1" spans="1:11">
      <c r="A21" s="22" t="s">
        <v>47</v>
      </c>
      <c r="B21" s="22" t="s">
        <v>15</v>
      </c>
      <c r="C21" s="23" t="s">
        <v>32</v>
      </c>
      <c r="D21" s="23" t="s">
        <v>48</v>
      </c>
      <c r="E21" s="23" t="s">
        <v>18</v>
      </c>
      <c r="F21" s="24">
        <v>100</v>
      </c>
      <c r="G21" s="24">
        <v>4000</v>
      </c>
      <c r="H21" s="24">
        <v>15000</v>
      </c>
      <c r="I21" s="24">
        <f t="shared" si="0"/>
        <v>400000</v>
      </c>
      <c r="J21" s="24">
        <f t="shared" si="1"/>
        <v>1500000</v>
      </c>
      <c r="K21" s="31"/>
    </row>
    <row r="22" ht="17.6" customHeight="1" spans="1:11">
      <c r="A22" s="22" t="s">
        <v>49</v>
      </c>
      <c r="B22" s="22" t="s">
        <v>15</v>
      </c>
      <c r="C22" s="23" t="s">
        <v>32</v>
      </c>
      <c r="D22" s="23" t="s">
        <v>50</v>
      </c>
      <c r="E22" s="23" t="s">
        <v>18</v>
      </c>
      <c r="F22" s="24">
        <v>100</v>
      </c>
      <c r="G22" s="24">
        <v>4000</v>
      </c>
      <c r="H22" s="24">
        <v>15000</v>
      </c>
      <c r="I22" s="24">
        <f t="shared" si="0"/>
        <v>400000</v>
      </c>
      <c r="J22" s="24">
        <f t="shared" si="1"/>
        <v>1500000</v>
      </c>
      <c r="K22" s="31"/>
    </row>
    <row r="23" ht="17.6" customHeight="1" spans="1:11">
      <c r="A23" s="22" t="s">
        <v>51</v>
      </c>
      <c r="B23" s="22" t="s">
        <v>52</v>
      </c>
      <c r="C23" s="23" t="s">
        <v>53</v>
      </c>
      <c r="D23" s="23" t="s">
        <v>54</v>
      </c>
      <c r="E23" s="23" t="s">
        <v>18</v>
      </c>
      <c r="F23" s="24">
        <v>10</v>
      </c>
      <c r="G23" s="24">
        <v>20000</v>
      </c>
      <c r="H23" s="24">
        <v>80000</v>
      </c>
      <c r="I23" s="24">
        <f t="shared" si="0"/>
        <v>400000</v>
      </c>
      <c r="J23" s="24">
        <f t="shared" si="1"/>
        <v>1500000</v>
      </c>
      <c r="K23" s="31"/>
    </row>
    <row r="24" ht="17.6" customHeight="1" spans="1:11">
      <c r="A24" s="22" t="s">
        <v>55</v>
      </c>
      <c r="B24" s="22" t="s">
        <v>52</v>
      </c>
      <c r="C24" s="23" t="s">
        <v>53</v>
      </c>
      <c r="D24" s="23" t="s">
        <v>56</v>
      </c>
      <c r="E24" s="23" t="s">
        <v>18</v>
      </c>
      <c r="F24" s="24">
        <v>15</v>
      </c>
      <c r="G24" s="24">
        <v>20000</v>
      </c>
      <c r="H24" s="24">
        <v>80000</v>
      </c>
      <c r="I24" s="24">
        <f t="shared" si="0"/>
        <v>200000</v>
      </c>
      <c r="J24" s="24">
        <f t="shared" si="1"/>
        <v>800000</v>
      </c>
      <c r="K24" s="31" t="s">
        <v>21</v>
      </c>
    </row>
    <row r="25" ht="17.6" customHeight="1" spans="1:11">
      <c r="A25" s="22" t="s">
        <v>57</v>
      </c>
      <c r="B25" s="22" t="s">
        <v>52</v>
      </c>
      <c r="C25" s="23" t="s">
        <v>53</v>
      </c>
      <c r="D25" s="23" t="s">
        <v>58</v>
      </c>
      <c r="E25" s="23" t="s">
        <v>18</v>
      </c>
      <c r="F25" s="24">
        <v>15</v>
      </c>
      <c r="G25" s="24">
        <v>20000</v>
      </c>
      <c r="H25" s="24">
        <v>80000</v>
      </c>
      <c r="I25" s="24">
        <f t="shared" si="0"/>
        <v>300000</v>
      </c>
      <c r="J25" s="24">
        <f t="shared" si="1"/>
        <v>1200000</v>
      </c>
      <c r="K25" s="31"/>
    </row>
    <row r="26" ht="17.6" customHeight="1" spans="1:11">
      <c r="A26" s="22" t="s">
        <v>59</v>
      </c>
      <c r="B26" s="22" t="s">
        <v>52</v>
      </c>
      <c r="C26" s="23" t="s">
        <v>53</v>
      </c>
      <c r="D26" s="23" t="s">
        <v>60</v>
      </c>
      <c r="E26" s="23" t="s">
        <v>18</v>
      </c>
      <c r="F26" s="24">
        <v>10</v>
      </c>
      <c r="G26" s="24">
        <v>20000</v>
      </c>
      <c r="H26" s="24">
        <v>80000</v>
      </c>
      <c r="I26" s="24">
        <f t="shared" si="0"/>
        <v>300000</v>
      </c>
      <c r="J26" s="24">
        <f t="shared" si="1"/>
        <v>1200000</v>
      </c>
      <c r="K26" s="31"/>
    </row>
    <row r="27" ht="17.6" customHeight="1" spans="1:11">
      <c r="A27" s="22" t="s">
        <v>61</v>
      </c>
      <c r="B27" s="22" t="s">
        <v>52</v>
      </c>
      <c r="C27" s="23" t="s">
        <v>62</v>
      </c>
      <c r="D27" s="23" t="s">
        <v>58</v>
      </c>
      <c r="E27" s="23" t="s">
        <v>18</v>
      </c>
      <c r="F27" s="25">
        <v>5</v>
      </c>
      <c r="G27" s="24">
        <v>30000</v>
      </c>
      <c r="H27" s="24">
        <v>95000</v>
      </c>
      <c r="I27" s="24">
        <f t="shared" si="0"/>
        <v>200000</v>
      </c>
      <c r="J27" s="24">
        <f t="shared" si="1"/>
        <v>800000</v>
      </c>
      <c r="K27" s="31"/>
    </row>
    <row r="28" ht="17.6" customHeight="1" spans="1:11">
      <c r="A28" s="22" t="s">
        <v>63</v>
      </c>
      <c r="B28" s="22" t="s">
        <v>52</v>
      </c>
      <c r="C28" s="23" t="s">
        <v>62</v>
      </c>
      <c r="D28" s="23" t="s">
        <v>60</v>
      </c>
      <c r="E28" s="23" t="s">
        <v>18</v>
      </c>
      <c r="F28" s="24">
        <v>10</v>
      </c>
      <c r="G28" s="24">
        <v>30000</v>
      </c>
      <c r="H28" s="24">
        <v>95000</v>
      </c>
      <c r="I28" s="24">
        <f t="shared" si="0"/>
        <v>150000</v>
      </c>
      <c r="J28" s="24">
        <f t="shared" si="1"/>
        <v>475000</v>
      </c>
      <c r="K28" s="31"/>
    </row>
    <row r="29" ht="17.6" customHeight="1" spans="1:11">
      <c r="A29" s="22" t="s">
        <v>64</v>
      </c>
      <c r="B29" s="22" t="s">
        <v>52</v>
      </c>
      <c r="C29" s="23" t="s">
        <v>62</v>
      </c>
      <c r="D29" s="23" t="s">
        <v>65</v>
      </c>
      <c r="E29" s="23" t="s">
        <v>18</v>
      </c>
      <c r="F29" s="24">
        <v>10</v>
      </c>
      <c r="G29" s="24">
        <v>30000</v>
      </c>
      <c r="H29" s="24">
        <v>95000</v>
      </c>
      <c r="I29" s="24">
        <f t="shared" si="0"/>
        <v>300000</v>
      </c>
      <c r="J29" s="24">
        <f t="shared" si="1"/>
        <v>950000</v>
      </c>
      <c r="K29" s="31"/>
    </row>
    <row r="30" ht="17.6" customHeight="1" spans="1:11">
      <c r="A30" s="22" t="s">
        <v>66</v>
      </c>
      <c r="B30" s="22" t="s">
        <v>52</v>
      </c>
      <c r="C30" s="23" t="s">
        <v>62</v>
      </c>
      <c r="D30" s="23" t="s">
        <v>67</v>
      </c>
      <c r="E30" s="23" t="s">
        <v>18</v>
      </c>
      <c r="F30" s="24">
        <v>10</v>
      </c>
      <c r="G30" s="24">
        <v>30000</v>
      </c>
      <c r="H30" s="24">
        <v>95000</v>
      </c>
      <c r="I30" s="24">
        <f t="shared" si="0"/>
        <v>300000</v>
      </c>
      <c r="J30" s="24">
        <f t="shared" si="1"/>
        <v>950000</v>
      </c>
      <c r="K30" s="31"/>
    </row>
    <row r="31" ht="17.6" customHeight="1" spans="1:11">
      <c r="A31" s="22" t="s">
        <v>68</v>
      </c>
      <c r="B31" s="22" t="s">
        <v>52</v>
      </c>
      <c r="C31" s="23" t="s">
        <v>69</v>
      </c>
      <c r="D31" s="23" t="s">
        <v>58</v>
      </c>
      <c r="E31" s="23" t="s">
        <v>18</v>
      </c>
      <c r="F31" s="26">
        <v>5</v>
      </c>
      <c r="G31" s="24">
        <v>30000</v>
      </c>
      <c r="H31" s="24">
        <v>95000</v>
      </c>
      <c r="I31" s="24">
        <f t="shared" si="0"/>
        <v>300000</v>
      </c>
      <c r="J31" s="24">
        <f t="shared" si="1"/>
        <v>950000</v>
      </c>
      <c r="K31" s="31"/>
    </row>
    <row r="32" ht="17.6" customHeight="1" spans="1:11">
      <c r="A32" s="22" t="s">
        <v>70</v>
      </c>
      <c r="B32" s="22" t="s">
        <v>52</v>
      </c>
      <c r="C32" s="23" t="s">
        <v>69</v>
      </c>
      <c r="D32" s="23" t="s">
        <v>60</v>
      </c>
      <c r="E32" s="23" t="s">
        <v>18</v>
      </c>
      <c r="F32" s="24">
        <v>10</v>
      </c>
      <c r="G32" s="24">
        <v>30000</v>
      </c>
      <c r="H32" s="24">
        <v>95000</v>
      </c>
      <c r="I32" s="24">
        <f t="shared" si="0"/>
        <v>150000</v>
      </c>
      <c r="J32" s="24">
        <f t="shared" si="1"/>
        <v>475000</v>
      </c>
      <c r="K32" s="31"/>
    </row>
    <row r="33" ht="17.6" customHeight="1" spans="1:11">
      <c r="A33" s="22" t="s">
        <v>71</v>
      </c>
      <c r="B33" s="22" t="s">
        <v>52</v>
      </c>
      <c r="C33" s="23" t="s">
        <v>69</v>
      </c>
      <c r="D33" s="23" t="s">
        <v>65</v>
      </c>
      <c r="E33" s="23" t="s">
        <v>18</v>
      </c>
      <c r="F33" s="24">
        <v>10</v>
      </c>
      <c r="G33" s="24">
        <v>30000</v>
      </c>
      <c r="H33" s="24">
        <v>95000</v>
      </c>
      <c r="I33" s="24">
        <f t="shared" si="0"/>
        <v>300000</v>
      </c>
      <c r="J33" s="24">
        <f t="shared" si="1"/>
        <v>950000</v>
      </c>
      <c r="K33" s="31"/>
    </row>
    <row r="34" ht="17.6" customHeight="1" spans="1:11">
      <c r="A34" s="22" t="s">
        <v>72</v>
      </c>
      <c r="B34" s="22" t="s">
        <v>52</v>
      </c>
      <c r="C34" s="23" t="s">
        <v>69</v>
      </c>
      <c r="D34" s="23" t="s">
        <v>67</v>
      </c>
      <c r="E34" s="23" t="s">
        <v>18</v>
      </c>
      <c r="F34" s="24">
        <v>10</v>
      </c>
      <c r="G34" s="24">
        <v>30000</v>
      </c>
      <c r="H34" s="24">
        <v>95000</v>
      </c>
      <c r="I34" s="24">
        <f t="shared" si="0"/>
        <v>300000</v>
      </c>
      <c r="J34" s="24">
        <f t="shared" si="1"/>
        <v>950000</v>
      </c>
      <c r="K34" s="31"/>
    </row>
    <row r="35" ht="17.6" customHeight="1" spans="1:11">
      <c r="A35" s="22" t="s">
        <v>73</v>
      </c>
      <c r="B35" s="22" t="s">
        <v>52</v>
      </c>
      <c r="C35" s="23" t="s">
        <v>69</v>
      </c>
      <c r="D35" s="23" t="s">
        <v>74</v>
      </c>
      <c r="E35" s="23" t="s">
        <v>18</v>
      </c>
      <c r="F35" s="24">
        <v>10</v>
      </c>
      <c r="G35" s="24">
        <v>30000</v>
      </c>
      <c r="H35" s="24">
        <v>95000</v>
      </c>
      <c r="I35" s="24">
        <f t="shared" si="0"/>
        <v>300000</v>
      </c>
      <c r="J35" s="24">
        <f t="shared" si="1"/>
        <v>950000</v>
      </c>
      <c r="K35" s="31"/>
    </row>
    <row r="36" ht="17.6" customHeight="1" spans="1:11">
      <c r="A36" s="22" t="s">
        <v>75</v>
      </c>
      <c r="B36" s="22" t="s">
        <v>52</v>
      </c>
      <c r="C36" s="23" t="s">
        <v>69</v>
      </c>
      <c r="D36" s="23" t="s">
        <v>76</v>
      </c>
      <c r="E36" s="23" t="s">
        <v>18</v>
      </c>
      <c r="F36" s="24">
        <v>10</v>
      </c>
      <c r="G36" s="24">
        <v>30000</v>
      </c>
      <c r="H36" s="24">
        <v>95000</v>
      </c>
      <c r="I36" s="24">
        <f t="shared" si="0"/>
        <v>300000</v>
      </c>
      <c r="J36" s="24">
        <f t="shared" si="1"/>
        <v>950000</v>
      </c>
      <c r="K36" s="31"/>
    </row>
    <row r="37" ht="17.6" customHeight="1" spans="1:11">
      <c r="A37" s="22" t="s">
        <v>77</v>
      </c>
      <c r="B37" s="22" t="s">
        <v>78</v>
      </c>
      <c r="C37" s="23" t="s">
        <v>78</v>
      </c>
      <c r="D37" s="23" t="s">
        <v>79</v>
      </c>
      <c r="E37" s="23" t="s">
        <v>18</v>
      </c>
      <c r="F37" s="24">
        <v>20</v>
      </c>
      <c r="G37" s="24">
        <v>75000</v>
      </c>
      <c r="H37" s="24">
        <v>350000</v>
      </c>
      <c r="I37" s="24">
        <f t="shared" si="0"/>
        <v>300000</v>
      </c>
      <c r="J37" s="24">
        <f t="shared" si="1"/>
        <v>950000</v>
      </c>
      <c r="K37" s="31"/>
    </row>
    <row r="38" ht="17.6" customHeight="1" spans="1:11">
      <c r="A38" s="22" t="s">
        <v>80</v>
      </c>
      <c r="B38" s="22" t="s">
        <v>78</v>
      </c>
      <c r="C38" s="23" t="s">
        <v>78</v>
      </c>
      <c r="D38" s="23" t="s">
        <v>81</v>
      </c>
      <c r="E38" s="23" t="s">
        <v>18</v>
      </c>
      <c r="F38" s="24">
        <v>20</v>
      </c>
      <c r="G38" s="24">
        <v>75000</v>
      </c>
      <c r="H38" s="24">
        <v>350000</v>
      </c>
      <c r="I38" s="24">
        <f t="shared" si="0"/>
        <v>1500000</v>
      </c>
      <c r="J38" s="24">
        <f t="shared" si="1"/>
        <v>7000000</v>
      </c>
      <c r="K38" s="31"/>
    </row>
    <row r="39" ht="17.6" customHeight="1" spans="1:11">
      <c r="A39" s="27" t="s">
        <v>82</v>
      </c>
      <c r="B39" s="27" t="s">
        <v>78</v>
      </c>
      <c r="C39" s="23" t="s">
        <v>78</v>
      </c>
      <c r="D39" s="23" t="s">
        <v>83</v>
      </c>
      <c r="E39" s="23" t="s">
        <v>18</v>
      </c>
      <c r="F39" s="24">
        <v>25</v>
      </c>
      <c r="G39" s="24">
        <v>75000</v>
      </c>
      <c r="H39" s="24">
        <v>350000</v>
      </c>
      <c r="I39" s="24">
        <f t="shared" si="0"/>
        <v>1500000</v>
      </c>
      <c r="J39" s="24">
        <f t="shared" si="1"/>
        <v>7000000</v>
      </c>
      <c r="K39" s="31" t="s">
        <v>21</v>
      </c>
    </row>
    <row r="40" ht="17.6" customHeight="1" spans="1:11">
      <c r="A40" s="27" t="s">
        <v>84</v>
      </c>
      <c r="B40" s="27" t="s">
        <v>85</v>
      </c>
      <c r="C40" s="23" t="s">
        <v>86</v>
      </c>
      <c r="D40" s="23" t="s">
        <v>87</v>
      </c>
      <c r="E40" s="23" t="s">
        <v>18</v>
      </c>
      <c r="F40" s="24">
        <v>100</v>
      </c>
      <c r="G40" s="24">
        <v>1200</v>
      </c>
      <c r="H40" s="24">
        <v>18000</v>
      </c>
      <c r="I40" s="24">
        <f t="shared" si="0"/>
        <v>1875000</v>
      </c>
      <c r="J40" s="24">
        <f t="shared" si="1"/>
        <v>8750000</v>
      </c>
      <c r="K40" s="31" t="s">
        <v>21</v>
      </c>
    </row>
    <row r="41" ht="17.6" customHeight="1" spans="1:11">
      <c r="A41" s="27" t="s">
        <v>88</v>
      </c>
      <c r="B41" s="27" t="s">
        <v>85</v>
      </c>
      <c r="C41" s="23" t="s">
        <v>86</v>
      </c>
      <c r="D41" s="23" t="s">
        <v>89</v>
      </c>
      <c r="E41" s="23" t="s">
        <v>18</v>
      </c>
      <c r="F41" s="24">
        <v>100</v>
      </c>
      <c r="G41" s="24">
        <v>1200</v>
      </c>
      <c r="H41" s="24">
        <v>18000</v>
      </c>
      <c r="I41" s="24">
        <f t="shared" si="0"/>
        <v>120000</v>
      </c>
      <c r="J41" s="24">
        <f t="shared" si="1"/>
        <v>1800000</v>
      </c>
      <c r="K41" s="31" t="s">
        <v>21</v>
      </c>
    </row>
    <row r="42" ht="17.6" customHeight="1" spans="1:11">
      <c r="A42" s="27" t="s">
        <v>90</v>
      </c>
      <c r="B42" s="27" t="s">
        <v>85</v>
      </c>
      <c r="C42" s="23" t="s">
        <v>86</v>
      </c>
      <c r="D42" s="23" t="s">
        <v>91</v>
      </c>
      <c r="E42" s="23" t="s">
        <v>18</v>
      </c>
      <c r="F42" s="24">
        <v>100</v>
      </c>
      <c r="G42" s="24">
        <v>1200</v>
      </c>
      <c r="H42" s="24">
        <v>18000</v>
      </c>
      <c r="I42" s="24">
        <f t="shared" si="0"/>
        <v>120000</v>
      </c>
      <c r="J42" s="24">
        <f t="shared" si="1"/>
        <v>1800000</v>
      </c>
      <c r="K42" s="31" t="s">
        <v>21</v>
      </c>
    </row>
    <row r="43" ht="17.6" customHeight="1" spans="1:11">
      <c r="A43" s="27" t="s">
        <v>92</v>
      </c>
      <c r="B43" s="27" t="s">
        <v>85</v>
      </c>
      <c r="C43" s="23" t="s">
        <v>86</v>
      </c>
      <c r="D43" s="23" t="s">
        <v>93</v>
      </c>
      <c r="E43" s="23" t="s">
        <v>18</v>
      </c>
      <c r="F43" s="24">
        <v>100</v>
      </c>
      <c r="G43" s="24">
        <v>1200</v>
      </c>
      <c r="H43" s="24">
        <v>18000</v>
      </c>
      <c r="I43" s="24">
        <f t="shared" si="0"/>
        <v>120000</v>
      </c>
      <c r="J43" s="24">
        <f t="shared" si="1"/>
        <v>1800000</v>
      </c>
      <c r="K43" s="31"/>
    </row>
    <row r="44" ht="17.6" customHeight="1" spans="1:11">
      <c r="A44" s="27" t="s">
        <v>94</v>
      </c>
      <c r="B44" s="27" t="s">
        <v>85</v>
      </c>
      <c r="C44" s="23" t="s">
        <v>95</v>
      </c>
      <c r="D44" s="23" t="s">
        <v>18</v>
      </c>
      <c r="E44" s="23" t="s">
        <v>18</v>
      </c>
      <c r="F44" s="24">
        <v>40</v>
      </c>
      <c r="G44" s="24">
        <v>3000</v>
      </c>
      <c r="H44" s="24">
        <v>20000</v>
      </c>
      <c r="I44" s="24">
        <f t="shared" si="0"/>
        <v>120000</v>
      </c>
      <c r="J44" s="24">
        <f t="shared" si="1"/>
        <v>1800000</v>
      </c>
      <c r="K44" s="31"/>
    </row>
    <row r="45" ht="17.6" customHeight="1" spans="1:11">
      <c r="A45" s="27" t="s">
        <v>96</v>
      </c>
      <c r="B45" s="27" t="s">
        <v>97</v>
      </c>
      <c r="C45" s="23" t="s">
        <v>98</v>
      </c>
      <c r="D45" s="23" t="s">
        <v>89</v>
      </c>
      <c r="E45" s="23" t="s">
        <v>18</v>
      </c>
      <c r="F45" s="24">
        <v>100</v>
      </c>
      <c r="G45" s="24">
        <v>15000</v>
      </c>
      <c r="H45" s="24">
        <v>50000</v>
      </c>
      <c r="I45" s="24">
        <f t="shared" si="0"/>
        <v>120000</v>
      </c>
      <c r="J45" s="24">
        <f t="shared" si="1"/>
        <v>800000</v>
      </c>
      <c r="K45" s="31" t="s">
        <v>21</v>
      </c>
    </row>
    <row r="46" ht="17.6" customHeight="1" spans="1:11">
      <c r="A46" s="27" t="s">
        <v>99</v>
      </c>
      <c r="B46" s="27" t="s">
        <v>97</v>
      </c>
      <c r="C46" s="23" t="s">
        <v>98</v>
      </c>
      <c r="D46" s="23" t="s">
        <v>93</v>
      </c>
      <c r="E46" s="23" t="s">
        <v>18</v>
      </c>
      <c r="F46" s="24">
        <v>100</v>
      </c>
      <c r="G46" s="24">
        <v>15000</v>
      </c>
      <c r="H46" s="24">
        <v>50000</v>
      </c>
      <c r="I46" s="24">
        <f t="shared" si="0"/>
        <v>1500000</v>
      </c>
      <c r="J46" s="24">
        <f t="shared" si="1"/>
        <v>5000000</v>
      </c>
      <c r="K46" s="31" t="s">
        <v>21</v>
      </c>
    </row>
    <row r="47" ht="17.6" customHeight="1" spans="1:11">
      <c r="A47" s="27" t="s">
        <v>100</v>
      </c>
      <c r="B47" s="27" t="s">
        <v>97</v>
      </c>
      <c r="C47" s="23" t="s">
        <v>98</v>
      </c>
      <c r="D47" s="23" t="s">
        <v>101</v>
      </c>
      <c r="E47" s="23" t="s">
        <v>18</v>
      </c>
      <c r="F47" s="24">
        <v>100</v>
      </c>
      <c r="G47" s="24">
        <v>15000</v>
      </c>
      <c r="H47" s="24">
        <v>50000</v>
      </c>
      <c r="I47" s="24">
        <f t="shared" si="0"/>
        <v>1500000</v>
      </c>
      <c r="J47" s="24">
        <f t="shared" si="1"/>
        <v>5000000</v>
      </c>
      <c r="K47" s="31" t="s">
        <v>21</v>
      </c>
    </row>
    <row r="48" ht="17.6" customHeight="1" spans="1:11">
      <c r="A48" s="27" t="s">
        <v>102</v>
      </c>
      <c r="B48" s="27" t="s">
        <v>97</v>
      </c>
      <c r="C48" s="23" t="s">
        <v>98</v>
      </c>
      <c r="D48" s="23" t="s">
        <v>103</v>
      </c>
      <c r="E48" s="23" t="s">
        <v>18</v>
      </c>
      <c r="F48" s="24">
        <v>100</v>
      </c>
      <c r="G48" s="24">
        <v>15000</v>
      </c>
      <c r="H48" s="24">
        <v>50000</v>
      </c>
      <c r="I48" s="24">
        <f t="shared" si="0"/>
        <v>1500000</v>
      </c>
      <c r="J48" s="24">
        <f t="shared" si="1"/>
        <v>5000000</v>
      </c>
      <c r="K48" s="31" t="s">
        <v>21</v>
      </c>
    </row>
    <row r="49" ht="17.6" customHeight="1" spans="1:11">
      <c r="A49" s="27" t="s">
        <v>104</v>
      </c>
      <c r="B49" s="27" t="s">
        <v>97</v>
      </c>
      <c r="C49" s="23" t="s">
        <v>98</v>
      </c>
      <c r="D49" s="23" t="s">
        <v>105</v>
      </c>
      <c r="E49" s="23" t="s">
        <v>18</v>
      </c>
      <c r="F49" s="24">
        <v>50</v>
      </c>
      <c r="G49" s="24">
        <v>15000</v>
      </c>
      <c r="H49" s="24">
        <v>50000</v>
      </c>
      <c r="I49" s="24">
        <f t="shared" si="0"/>
        <v>1500000</v>
      </c>
      <c r="J49" s="24">
        <f t="shared" si="1"/>
        <v>5000000</v>
      </c>
      <c r="K49" s="31" t="s">
        <v>21</v>
      </c>
    </row>
    <row r="50" ht="17.6" customHeight="1" spans="1:11">
      <c r="A50" s="27" t="s">
        <v>106</v>
      </c>
      <c r="B50" s="27" t="s">
        <v>107</v>
      </c>
      <c r="C50" s="23" t="s">
        <v>108</v>
      </c>
      <c r="D50" s="23" t="s">
        <v>103</v>
      </c>
      <c r="E50" s="23" t="s">
        <v>18</v>
      </c>
      <c r="F50" s="24">
        <v>50</v>
      </c>
      <c r="G50" s="24">
        <v>7000</v>
      </c>
      <c r="H50" s="24">
        <v>30000</v>
      </c>
      <c r="I50" s="24">
        <f t="shared" si="0"/>
        <v>750000</v>
      </c>
      <c r="J50" s="24">
        <f t="shared" si="1"/>
        <v>2500000</v>
      </c>
      <c r="K50" s="31"/>
    </row>
    <row r="51" ht="17.6" customHeight="1" spans="1:11">
      <c r="A51" s="27" t="s">
        <v>109</v>
      </c>
      <c r="B51" s="27" t="s">
        <v>107</v>
      </c>
      <c r="C51" s="23" t="s">
        <v>108</v>
      </c>
      <c r="D51" s="23" t="s">
        <v>105</v>
      </c>
      <c r="E51" s="23" t="s">
        <v>18</v>
      </c>
      <c r="F51" s="24">
        <v>50</v>
      </c>
      <c r="G51" s="24">
        <v>7000</v>
      </c>
      <c r="H51" s="24">
        <v>30000</v>
      </c>
      <c r="I51" s="24">
        <f t="shared" si="0"/>
        <v>350000</v>
      </c>
      <c r="J51" s="24">
        <f t="shared" si="1"/>
        <v>1500000</v>
      </c>
      <c r="K51" s="31"/>
    </row>
    <row r="52" ht="17.6" customHeight="1" spans="1:11">
      <c r="A52" s="27" t="s">
        <v>110</v>
      </c>
      <c r="B52" s="27" t="s">
        <v>107</v>
      </c>
      <c r="C52" s="23" t="s">
        <v>108</v>
      </c>
      <c r="D52" s="23" t="s">
        <v>111</v>
      </c>
      <c r="E52" s="23" t="s">
        <v>18</v>
      </c>
      <c r="F52" s="24">
        <v>50</v>
      </c>
      <c r="G52" s="24">
        <v>7000</v>
      </c>
      <c r="H52" s="24">
        <v>30000</v>
      </c>
      <c r="I52" s="24">
        <f t="shared" si="0"/>
        <v>350000</v>
      </c>
      <c r="J52" s="24">
        <f t="shared" si="1"/>
        <v>1500000</v>
      </c>
      <c r="K52" s="31"/>
    </row>
    <row r="53" ht="17.6" customHeight="1" spans="1:11">
      <c r="A53" s="27" t="s">
        <v>112</v>
      </c>
      <c r="B53" s="27" t="s">
        <v>107</v>
      </c>
      <c r="C53" s="23" t="s">
        <v>108</v>
      </c>
      <c r="D53" s="23" t="s">
        <v>113</v>
      </c>
      <c r="E53" s="23" t="s">
        <v>18</v>
      </c>
      <c r="F53" s="24">
        <v>50</v>
      </c>
      <c r="G53" s="24">
        <v>7000</v>
      </c>
      <c r="H53" s="24">
        <v>30000</v>
      </c>
      <c r="I53" s="24">
        <f t="shared" si="0"/>
        <v>350000</v>
      </c>
      <c r="J53" s="24">
        <f t="shared" si="1"/>
        <v>1500000</v>
      </c>
      <c r="K53" s="31"/>
    </row>
    <row r="54" ht="17.6" customHeight="1" spans="1:11">
      <c r="A54" s="27" t="s">
        <v>114</v>
      </c>
      <c r="B54" s="27" t="s">
        <v>115</v>
      </c>
      <c r="C54" s="23" t="s">
        <v>116</v>
      </c>
      <c r="D54" s="23" t="s">
        <v>20</v>
      </c>
      <c r="E54" s="23" t="s">
        <v>117</v>
      </c>
      <c r="F54" s="24">
        <v>20</v>
      </c>
      <c r="G54" s="24">
        <v>6000</v>
      </c>
      <c r="H54" s="24">
        <v>25000</v>
      </c>
      <c r="I54" s="24">
        <f t="shared" si="0"/>
        <v>350000</v>
      </c>
      <c r="J54" s="24">
        <f t="shared" si="1"/>
        <v>1500000</v>
      </c>
      <c r="K54" s="31" t="s">
        <v>21</v>
      </c>
    </row>
    <row r="55" ht="17.6" customHeight="1" spans="1:11">
      <c r="A55" s="27" t="s">
        <v>118</v>
      </c>
      <c r="B55" s="27" t="s">
        <v>115</v>
      </c>
      <c r="C55" s="23" t="s">
        <v>116</v>
      </c>
      <c r="D55" s="23" t="s">
        <v>23</v>
      </c>
      <c r="E55" s="23" t="s">
        <v>117</v>
      </c>
      <c r="F55" s="24">
        <v>20</v>
      </c>
      <c r="G55" s="24">
        <v>6000</v>
      </c>
      <c r="H55" s="24">
        <v>25000</v>
      </c>
      <c r="I55" s="24">
        <f t="shared" si="0"/>
        <v>120000</v>
      </c>
      <c r="J55" s="24">
        <f t="shared" si="1"/>
        <v>500000</v>
      </c>
      <c r="K55" s="31"/>
    </row>
    <row r="56" ht="17.6" customHeight="1" spans="1:11">
      <c r="A56" s="27" t="s">
        <v>119</v>
      </c>
      <c r="B56" s="27" t="s">
        <v>115</v>
      </c>
      <c r="C56" s="23" t="s">
        <v>116</v>
      </c>
      <c r="D56" s="23" t="s">
        <v>25</v>
      </c>
      <c r="E56" s="23" t="s">
        <v>117</v>
      </c>
      <c r="F56" s="24">
        <v>20</v>
      </c>
      <c r="G56" s="24">
        <v>6000</v>
      </c>
      <c r="H56" s="24">
        <v>25000</v>
      </c>
      <c r="I56" s="24">
        <f t="shared" si="0"/>
        <v>120000</v>
      </c>
      <c r="J56" s="24">
        <f t="shared" si="1"/>
        <v>500000</v>
      </c>
      <c r="K56" s="31"/>
    </row>
    <row r="57" ht="17.6" customHeight="1" spans="1:11">
      <c r="A57" s="27" t="s">
        <v>120</v>
      </c>
      <c r="B57" s="27" t="s">
        <v>115</v>
      </c>
      <c r="C57" s="23" t="s">
        <v>116</v>
      </c>
      <c r="D57" s="23" t="s">
        <v>27</v>
      </c>
      <c r="E57" s="23" t="s">
        <v>117</v>
      </c>
      <c r="F57" s="24">
        <v>20</v>
      </c>
      <c r="G57" s="24">
        <v>6000</v>
      </c>
      <c r="H57" s="24">
        <v>25000</v>
      </c>
      <c r="I57" s="24">
        <f t="shared" si="0"/>
        <v>120000</v>
      </c>
      <c r="J57" s="24">
        <f t="shared" si="1"/>
        <v>500000</v>
      </c>
      <c r="K57" s="31"/>
    </row>
    <row r="58" ht="17.6" customHeight="1" spans="1:11">
      <c r="A58" s="27" t="s">
        <v>121</v>
      </c>
      <c r="B58" s="27" t="s">
        <v>115</v>
      </c>
      <c r="C58" s="23" t="s">
        <v>116</v>
      </c>
      <c r="D58" s="23" t="s">
        <v>30</v>
      </c>
      <c r="E58" s="23" t="s">
        <v>117</v>
      </c>
      <c r="F58" s="24">
        <v>20</v>
      </c>
      <c r="G58" s="24">
        <v>6000</v>
      </c>
      <c r="H58" s="24">
        <v>25000</v>
      </c>
      <c r="I58" s="24">
        <f t="shared" si="0"/>
        <v>120000</v>
      </c>
      <c r="J58" s="24">
        <f t="shared" si="1"/>
        <v>500000</v>
      </c>
      <c r="K58" s="31"/>
    </row>
    <row r="59" ht="17.6" customHeight="1" spans="1:11">
      <c r="A59" s="27" t="s">
        <v>122</v>
      </c>
      <c r="B59" s="27" t="s">
        <v>115</v>
      </c>
      <c r="C59" s="23" t="s">
        <v>116</v>
      </c>
      <c r="D59" s="23" t="s">
        <v>36</v>
      </c>
      <c r="E59" s="23" t="s">
        <v>117</v>
      </c>
      <c r="F59" s="24">
        <v>20</v>
      </c>
      <c r="G59" s="24">
        <v>6000</v>
      </c>
      <c r="H59" s="24">
        <v>25000</v>
      </c>
      <c r="I59" s="24">
        <f t="shared" si="0"/>
        <v>120000</v>
      </c>
      <c r="J59" s="24">
        <f t="shared" si="1"/>
        <v>500000</v>
      </c>
      <c r="K59" s="31"/>
    </row>
    <row r="60" ht="17.6" customHeight="1" spans="1:11">
      <c r="A60" s="27" t="s">
        <v>123</v>
      </c>
      <c r="B60" s="27" t="s">
        <v>115</v>
      </c>
      <c r="C60" s="23" t="s">
        <v>116</v>
      </c>
      <c r="D60" s="23" t="s">
        <v>124</v>
      </c>
      <c r="E60" s="23" t="s">
        <v>117</v>
      </c>
      <c r="F60" s="24">
        <v>20</v>
      </c>
      <c r="G60" s="24">
        <v>6000</v>
      </c>
      <c r="H60" s="24">
        <v>25000</v>
      </c>
      <c r="I60" s="24">
        <f t="shared" si="0"/>
        <v>120000</v>
      </c>
      <c r="J60" s="24">
        <f t="shared" si="1"/>
        <v>500000</v>
      </c>
      <c r="K60" s="31"/>
    </row>
    <row r="61" ht="17.6" customHeight="1" spans="1:11">
      <c r="A61" s="27" t="s">
        <v>125</v>
      </c>
      <c r="B61" s="27" t="s">
        <v>115</v>
      </c>
      <c r="C61" s="23" t="s">
        <v>116</v>
      </c>
      <c r="D61" s="23" t="s">
        <v>38</v>
      </c>
      <c r="E61" s="23" t="s">
        <v>117</v>
      </c>
      <c r="F61" s="24">
        <v>20</v>
      </c>
      <c r="G61" s="24">
        <v>6000</v>
      </c>
      <c r="H61" s="24">
        <v>25000</v>
      </c>
      <c r="I61" s="24">
        <f t="shared" si="0"/>
        <v>120000</v>
      </c>
      <c r="J61" s="24">
        <f t="shared" si="1"/>
        <v>500000</v>
      </c>
      <c r="K61" s="31"/>
    </row>
    <row r="62" ht="17.6" customHeight="1" spans="1:11">
      <c r="A62" s="27" t="s">
        <v>126</v>
      </c>
      <c r="B62" s="27" t="s">
        <v>52</v>
      </c>
      <c r="C62" s="23" t="s">
        <v>127</v>
      </c>
      <c r="D62" s="23" t="s">
        <v>54</v>
      </c>
      <c r="E62" s="23" t="s">
        <v>18</v>
      </c>
      <c r="F62" s="24">
        <v>10</v>
      </c>
      <c r="G62" s="24">
        <v>40000</v>
      </c>
      <c r="H62" s="24">
        <v>120000</v>
      </c>
      <c r="I62" s="24">
        <f t="shared" si="0"/>
        <v>120000</v>
      </c>
      <c r="J62" s="24">
        <f t="shared" si="1"/>
        <v>500000</v>
      </c>
      <c r="K62" s="31"/>
    </row>
    <row r="63" ht="17.6" customHeight="1" spans="1:11">
      <c r="A63" s="27" t="s">
        <v>128</v>
      </c>
      <c r="B63" s="27" t="s">
        <v>52</v>
      </c>
      <c r="C63" s="23" t="s">
        <v>127</v>
      </c>
      <c r="D63" s="23" t="s">
        <v>129</v>
      </c>
      <c r="E63" s="23" t="s">
        <v>18</v>
      </c>
      <c r="F63" s="24">
        <v>20</v>
      </c>
      <c r="G63" s="24">
        <v>40000</v>
      </c>
      <c r="H63" s="24">
        <v>120000</v>
      </c>
      <c r="I63" s="24">
        <f t="shared" si="0"/>
        <v>400000</v>
      </c>
      <c r="J63" s="24">
        <f t="shared" si="1"/>
        <v>1200000</v>
      </c>
      <c r="K63" s="31"/>
    </row>
    <row r="64" ht="17.6" customHeight="1" spans="1:11">
      <c r="A64" s="27" t="s">
        <v>130</v>
      </c>
      <c r="B64" s="27" t="s">
        <v>15</v>
      </c>
      <c r="C64" s="23" t="s">
        <v>131</v>
      </c>
      <c r="D64" s="23" t="s">
        <v>132</v>
      </c>
      <c r="E64" s="23" t="s">
        <v>133</v>
      </c>
      <c r="F64" s="24">
        <v>10</v>
      </c>
      <c r="G64" s="24">
        <v>20000</v>
      </c>
      <c r="H64" s="24">
        <v>45000</v>
      </c>
      <c r="I64" s="24">
        <f t="shared" si="0"/>
        <v>800000</v>
      </c>
      <c r="J64" s="24">
        <f t="shared" si="1"/>
        <v>2400000</v>
      </c>
      <c r="K64" s="31"/>
    </row>
    <row r="65" ht="17.6" customHeight="1" spans="1:11">
      <c r="A65" s="27" t="s">
        <v>134</v>
      </c>
      <c r="B65" s="27" t="s">
        <v>15</v>
      </c>
      <c r="C65" s="23" t="s">
        <v>131</v>
      </c>
      <c r="D65" s="23" t="s">
        <v>135</v>
      </c>
      <c r="E65" s="23" t="s">
        <v>133</v>
      </c>
      <c r="F65" s="24">
        <v>10</v>
      </c>
      <c r="G65" s="24">
        <v>20000</v>
      </c>
      <c r="H65" s="24">
        <v>45000</v>
      </c>
      <c r="I65" s="24">
        <f t="shared" si="0"/>
        <v>200000</v>
      </c>
      <c r="J65" s="24">
        <f t="shared" si="1"/>
        <v>450000</v>
      </c>
      <c r="K65" s="31"/>
    </row>
    <row r="66" ht="17.6" customHeight="1" spans="1:11">
      <c r="A66" s="27" t="s">
        <v>136</v>
      </c>
      <c r="B66" s="27" t="s">
        <v>15</v>
      </c>
      <c r="C66" s="23" t="s">
        <v>131</v>
      </c>
      <c r="D66" s="23" t="s">
        <v>137</v>
      </c>
      <c r="E66" s="23" t="s">
        <v>133</v>
      </c>
      <c r="F66" s="24">
        <v>10</v>
      </c>
      <c r="G66" s="24">
        <v>20000</v>
      </c>
      <c r="H66" s="24">
        <v>45000</v>
      </c>
      <c r="I66" s="24">
        <f t="shared" si="0"/>
        <v>200000</v>
      </c>
      <c r="J66" s="24">
        <f t="shared" si="1"/>
        <v>450000</v>
      </c>
      <c r="K66" s="31" t="s">
        <v>28</v>
      </c>
    </row>
    <row r="67" ht="17.6" customHeight="1" spans="1:11">
      <c r="A67" s="27" t="s">
        <v>138</v>
      </c>
      <c r="B67" s="27" t="s">
        <v>15</v>
      </c>
      <c r="C67" s="23" t="s">
        <v>131</v>
      </c>
      <c r="D67" s="23" t="s">
        <v>139</v>
      </c>
      <c r="E67" s="23" t="s">
        <v>133</v>
      </c>
      <c r="F67" s="24">
        <v>10</v>
      </c>
      <c r="G67" s="24">
        <v>20000</v>
      </c>
      <c r="H67" s="24">
        <v>45000</v>
      </c>
      <c r="I67" s="24">
        <f t="shared" si="0"/>
        <v>200000</v>
      </c>
      <c r="J67" s="24">
        <f t="shared" si="1"/>
        <v>450000</v>
      </c>
      <c r="K67" s="31"/>
    </row>
    <row r="68" ht="17.6" customHeight="1" spans="1:11">
      <c r="A68" s="27" t="s">
        <v>140</v>
      </c>
      <c r="B68" s="27" t="s">
        <v>15</v>
      </c>
      <c r="C68" s="23" t="s">
        <v>131</v>
      </c>
      <c r="D68" s="23" t="s">
        <v>141</v>
      </c>
      <c r="E68" s="23" t="s">
        <v>133</v>
      </c>
      <c r="F68" s="24">
        <v>10</v>
      </c>
      <c r="G68" s="24">
        <v>20000</v>
      </c>
      <c r="H68" s="24">
        <v>45000</v>
      </c>
      <c r="I68" s="24">
        <f t="shared" si="0"/>
        <v>200000</v>
      </c>
      <c r="J68" s="24">
        <f t="shared" si="1"/>
        <v>450000</v>
      </c>
      <c r="K68" s="31"/>
    </row>
    <row r="69" ht="17.6" customHeight="1" spans="1:11">
      <c r="A69" s="27" t="s">
        <v>142</v>
      </c>
      <c r="B69" s="27" t="s">
        <v>143</v>
      </c>
      <c r="C69" s="23" t="s">
        <v>144</v>
      </c>
      <c r="D69" s="23" t="s">
        <v>20</v>
      </c>
      <c r="E69" s="23" t="s">
        <v>133</v>
      </c>
      <c r="F69" s="24">
        <v>10</v>
      </c>
      <c r="G69" s="24">
        <v>15000</v>
      </c>
      <c r="H69" s="24">
        <v>40000</v>
      </c>
      <c r="I69" s="24">
        <f t="shared" si="0"/>
        <v>200000</v>
      </c>
      <c r="J69" s="24">
        <f t="shared" si="1"/>
        <v>450000</v>
      </c>
      <c r="K69" s="31"/>
    </row>
    <row r="70" ht="17.6" customHeight="1" spans="1:11">
      <c r="A70" s="27" t="s">
        <v>145</v>
      </c>
      <c r="B70" s="27" t="s">
        <v>143</v>
      </c>
      <c r="C70" s="23" t="s">
        <v>144</v>
      </c>
      <c r="D70" s="23" t="s">
        <v>23</v>
      </c>
      <c r="E70" s="23" t="s">
        <v>133</v>
      </c>
      <c r="F70" s="24">
        <v>10</v>
      </c>
      <c r="G70" s="24">
        <v>15000</v>
      </c>
      <c r="H70" s="24">
        <v>40000</v>
      </c>
      <c r="I70" s="24">
        <f t="shared" ref="I70:I128" si="2">F69*G69</f>
        <v>150000</v>
      </c>
      <c r="J70" s="24">
        <f t="shared" ref="J70:J128" si="3">F69*H69</f>
        <v>400000</v>
      </c>
      <c r="K70" s="31"/>
    </row>
    <row r="71" ht="17.6" customHeight="1" spans="1:11">
      <c r="A71" s="27" t="s">
        <v>146</v>
      </c>
      <c r="B71" s="27" t="s">
        <v>143</v>
      </c>
      <c r="C71" s="23" t="s">
        <v>144</v>
      </c>
      <c r="D71" s="23" t="s">
        <v>25</v>
      </c>
      <c r="E71" s="23" t="s">
        <v>133</v>
      </c>
      <c r="F71" s="24">
        <v>10</v>
      </c>
      <c r="G71" s="24">
        <v>15000</v>
      </c>
      <c r="H71" s="24">
        <v>40000</v>
      </c>
      <c r="I71" s="24">
        <f t="shared" si="2"/>
        <v>150000</v>
      </c>
      <c r="J71" s="24">
        <f t="shared" si="3"/>
        <v>400000</v>
      </c>
      <c r="K71" s="31"/>
    </row>
    <row r="72" ht="17.6" customHeight="1" spans="1:11">
      <c r="A72" s="27" t="s">
        <v>147</v>
      </c>
      <c r="B72" s="27" t="s">
        <v>143</v>
      </c>
      <c r="C72" s="23" t="s">
        <v>144</v>
      </c>
      <c r="D72" s="23" t="s">
        <v>27</v>
      </c>
      <c r="E72" s="23" t="s">
        <v>133</v>
      </c>
      <c r="F72" s="24">
        <v>10</v>
      </c>
      <c r="G72" s="24">
        <v>15000</v>
      </c>
      <c r="H72" s="24">
        <v>40000</v>
      </c>
      <c r="I72" s="24">
        <f t="shared" si="2"/>
        <v>150000</v>
      </c>
      <c r="J72" s="24">
        <f t="shared" si="3"/>
        <v>400000</v>
      </c>
      <c r="K72" s="31"/>
    </row>
    <row r="73" ht="17.6" customHeight="1" spans="1:11">
      <c r="A73" s="27" t="s">
        <v>148</v>
      </c>
      <c r="B73" s="27" t="s">
        <v>143</v>
      </c>
      <c r="C73" s="23" t="s">
        <v>144</v>
      </c>
      <c r="D73" s="23" t="s">
        <v>30</v>
      </c>
      <c r="E73" s="23" t="s">
        <v>133</v>
      </c>
      <c r="F73" s="24">
        <v>10</v>
      </c>
      <c r="G73" s="24">
        <v>15000</v>
      </c>
      <c r="H73" s="24">
        <v>40000</v>
      </c>
      <c r="I73" s="24">
        <f t="shared" si="2"/>
        <v>150000</v>
      </c>
      <c r="J73" s="24">
        <f t="shared" si="3"/>
        <v>400000</v>
      </c>
      <c r="K73" s="31"/>
    </row>
    <row r="74" ht="17.6" customHeight="1" spans="1:11">
      <c r="A74" s="27" t="s">
        <v>149</v>
      </c>
      <c r="B74" s="27" t="s">
        <v>143</v>
      </c>
      <c r="C74" s="23" t="s">
        <v>144</v>
      </c>
      <c r="D74" s="23" t="s">
        <v>36</v>
      </c>
      <c r="E74" s="23" t="s">
        <v>133</v>
      </c>
      <c r="F74" s="24">
        <v>10</v>
      </c>
      <c r="G74" s="24">
        <v>15000</v>
      </c>
      <c r="H74" s="24">
        <v>40000</v>
      </c>
      <c r="I74" s="24">
        <f t="shared" si="2"/>
        <v>150000</v>
      </c>
      <c r="J74" s="24">
        <f t="shared" si="3"/>
        <v>400000</v>
      </c>
      <c r="K74" s="31"/>
    </row>
    <row r="75" ht="17.6" customHeight="1" spans="1:11">
      <c r="A75" s="27" t="s">
        <v>150</v>
      </c>
      <c r="B75" s="27" t="s">
        <v>143</v>
      </c>
      <c r="C75" s="23" t="s">
        <v>144</v>
      </c>
      <c r="D75" s="23" t="s">
        <v>124</v>
      </c>
      <c r="E75" s="23" t="s">
        <v>133</v>
      </c>
      <c r="F75" s="24">
        <v>10</v>
      </c>
      <c r="G75" s="24">
        <v>15000</v>
      </c>
      <c r="H75" s="24">
        <v>40000</v>
      </c>
      <c r="I75" s="24">
        <f t="shared" si="2"/>
        <v>150000</v>
      </c>
      <c r="J75" s="24">
        <f t="shared" si="3"/>
        <v>400000</v>
      </c>
      <c r="K75" s="31"/>
    </row>
    <row r="76" ht="17.6" customHeight="1" spans="1:11">
      <c r="A76" s="27" t="s">
        <v>151</v>
      </c>
      <c r="B76" s="27" t="s">
        <v>143</v>
      </c>
      <c r="C76" s="23" t="s">
        <v>144</v>
      </c>
      <c r="D76" s="23" t="s">
        <v>38</v>
      </c>
      <c r="E76" s="23" t="s">
        <v>133</v>
      </c>
      <c r="F76" s="24">
        <v>10</v>
      </c>
      <c r="G76" s="24">
        <v>15000</v>
      </c>
      <c r="H76" s="24">
        <v>40000</v>
      </c>
      <c r="I76" s="24">
        <f t="shared" si="2"/>
        <v>150000</v>
      </c>
      <c r="J76" s="24">
        <f t="shared" si="3"/>
        <v>400000</v>
      </c>
      <c r="K76" s="31"/>
    </row>
    <row r="77" ht="17.6" customHeight="1" spans="1:11">
      <c r="A77" s="27" t="s">
        <v>152</v>
      </c>
      <c r="B77" s="27" t="s">
        <v>143</v>
      </c>
      <c r="C77" s="23" t="s">
        <v>144</v>
      </c>
      <c r="D77" s="23" t="s">
        <v>40</v>
      </c>
      <c r="E77" s="23" t="s">
        <v>133</v>
      </c>
      <c r="F77" s="24">
        <v>10</v>
      </c>
      <c r="G77" s="24">
        <v>15000</v>
      </c>
      <c r="H77" s="24">
        <v>40000</v>
      </c>
      <c r="I77" s="24">
        <f t="shared" si="2"/>
        <v>150000</v>
      </c>
      <c r="J77" s="24">
        <f t="shared" si="3"/>
        <v>400000</v>
      </c>
      <c r="K77" s="31"/>
    </row>
    <row r="78" ht="17.6" customHeight="1" spans="1:11">
      <c r="A78" s="27" t="s">
        <v>153</v>
      </c>
      <c r="B78" s="27" t="s">
        <v>143</v>
      </c>
      <c r="C78" s="23" t="s">
        <v>144</v>
      </c>
      <c r="D78" s="23" t="s">
        <v>42</v>
      </c>
      <c r="E78" s="23" t="s">
        <v>133</v>
      </c>
      <c r="F78" s="24">
        <v>10</v>
      </c>
      <c r="G78" s="24">
        <v>15000</v>
      </c>
      <c r="H78" s="24">
        <v>40000</v>
      </c>
      <c r="I78" s="24">
        <f t="shared" si="2"/>
        <v>150000</v>
      </c>
      <c r="J78" s="24">
        <f t="shared" si="3"/>
        <v>400000</v>
      </c>
      <c r="K78" s="31"/>
    </row>
    <row r="79" ht="17.6" customHeight="1" spans="1:11">
      <c r="A79" s="27" t="s">
        <v>154</v>
      </c>
      <c r="B79" s="27" t="s">
        <v>143</v>
      </c>
      <c r="C79" s="23" t="s">
        <v>144</v>
      </c>
      <c r="D79" s="23" t="s">
        <v>44</v>
      </c>
      <c r="E79" s="23" t="s">
        <v>133</v>
      </c>
      <c r="F79" s="24">
        <v>10</v>
      </c>
      <c r="G79" s="24">
        <v>15000</v>
      </c>
      <c r="H79" s="24">
        <v>40000</v>
      </c>
      <c r="I79" s="24">
        <f t="shared" si="2"/>
        <v>150000</v>
      </c>
      <c r="J79" s="24">
        <f t="shared" si="3"/>
        <v>400000</v>
      </c>
      <c r="K79" s="31"/>
    </row>
    <row r="80" ht="17.6" customHeight="1" spans="1:11">
      <c r="A80" s="27" t="s">
        <v>155</v>
      </c>
      <c r="B80" s="27" t="s">
        <v>143</v>
      </c>
      <c r="C80" s="23" t="s">
        <v>156</v>
      </c>
      <c r="D80" s="23" t="s">
        <v>38</v>
      </c>
      <c r="E80" s="23" t="s">
        <v>133</v>
      </c>
      <c r="F80" s="24">
        <v>10</v>
      </c>
      <c r="G80" s="24">
        <v>20000</v>
      </c>
      <c r="H80" s="24">
        <v>50000</v>
      </c>
      <c r="I80" s="24">
        <f t="shared" si="2"/>
        <v>150000</v>
      </c>
      <c r="J80" s="24">
        <f t="shared" si="3"/>
        <v>400000</v>
      </c>
      <c r="K80" s="31"/>
    </row>
    <row r="81" ht="17.6" customHeight="1" spans="1:11">
      <c r="A81" s="27" t="s">
        <v>157</v>
      </c>
      <c r="B81" s="27" t="s">
        <v>143</v>
      </c>
      <c r="C81" s="23" t="s">
        <v>156</v>
      </c>
      <c r="D81" s="23" t="s">
        <v>158</v>
      </c>
      <c r="E81" s="23" t="s">
        <v>133</v>
      </c>
      <c r="F81" s="24">
        <v>10</v>
      </c>
      <c r="G81" s="24">
        <v>20000</v>
      </c>
      <c r="H81" s="24">
        <v>50000</v>
      </c>
      <c r="I81" s="24">
        <f t="shared" si="2"/>
        <v>200000</v>
      </c>
      <c r="J81" s="24">
        <f t="shared" si="3"/>
        <v>500000</v>
      </c>
      <c r="K81" s="31"/>
    </row>
    <row r="82" ht="17.6" customHeight="1" spans="1:11">
      <c r="A82" s="27" t="s">
        <v>159</v>
      </c>
      <c r="B82" s="27" t="s">
        <v>143</v>
      </c>
      <c r="C82" s="23" t="s">
        <v>156</v>
      </c>
      <c r="D82" s="23" t="s">
        <v>48</v>
      </c>
      <c r="E82" s="23" t="s">
        <v>133</v>
      </c>
      <c r="F82" s="24">
        <v>10</v>
      </c>
      <c r="G82" s="24">
        <v>20000</v>
      </c>
      <c r="H82" s="24">
        <v>50000</v>
      </c>
      <c r="I82" s="24">
        <f t="shared" si="2"/>
        <v>200000</v>
      </c>
      <c r="J82" s="24">
        <f t="shared" si="3"/>
        <v>500000</v>
      </c>
      <c r="K82" s="31"/>
    </row>
    <row r="83" ht="17.6" customHeight="1" spans="1:11">
      <c r="A83" s="27" t="s">
        <v>160</v>
      </c>
      <c r="B83" s="27" t="s">
        <v>143</v>
      </c>
      <c r="C83" s="23" t="s">
        <v>156</v>
      </c>
      <c r="D83" s="23" t="s">
        <v>161</v>
      </c>
      <c r="E83" s="23" t="s">
        <v>133</v>
      </c>
      <c r="F83" s="24">
        <v>10</v>
      </c>
      <c r="G83" s="24">
        <v>20000</v>
      </c>
      <c r="H83" s="24">
        <v>50000</v>
      </c>
      <c r="I83" s="24">
        <f t="shared" si="2"/>
        <v>200000</v>
      </c>
      <c r="J83" s="24">
        <f t="shared" si="3"/>
        <v>500000</v>
      </c>
      <c r="K83" s="31"/>
    </row>
    <row r="84" ht="17.6" customHeight="1" spans="1:11">
      <c r="A84" s="27" t="s">
        <v>162</v>
      </c>
      <c r="B84" s="27" t="s">
        <v>143</v>
      </c>
      <c r="C84" s="23" t="s">
        <v>156</v>
      </c>
      <c r="D84" s="23" t="s">
        <v>163</v>
      </c>
      <c r="E84" s="23" t="s">
        <v>133</v>
      </c>
      <c r="F84" s="24">
        <v>10</v>
      </c>
      <c r="G84" s="24">
        <v>20000</v>
      </c>
      <c r="H84" s="24">
        <v>50000</v>
      </c>
      <c r="I84" s="24">
        <f t="shared" si="2"/>
        <v>200000</v>
      </c>
      <c r="J84" s="24">
        <f t="shared" si="3"/>
        <v>500000</v>
      </c>
      <c r="K84" s="31"/>
    </row>
    <row r="85" ht="17.6" customHeight="1" spans="1:11">
      <c r="A85" s="27" t="s">
        <v>164</v>
      </c>
      <c r="B85" s="27" t="s">
        <v>143</v>
      </c>
      <c r="C85" s="23" t="s">
        <v>156</v>
      </c>
      <c r="D85" s="23" t="s">
        <v>165</v>
      </c>
      <c r="E85" s="23" t="s">
        <v>133</v>
      </c>
      <c r="F85" s="24">
        <v>10</v>
      </c>
      <c r="G85" s="24">
        <v>20000</v>
      </c>
      <c r="H85" s="24">
        <v>50000</v>
      </c>
      <c r="I85" s="24">
        <f t="shared" si="2"/>
        <v>200000</v>
      </c>
      <c r="J85" s="24">
        <f t="shared" si="3"/>
        <v>500000</v>
      </c>
      <c r="K85" s="31"/>
    </row>
    <row r="86" ht="17.6" customHeight="1" spans="1:11">
      <c r="A86" s="27" t="s">
        <v>166</v>
      </c>
      <c r="B86" s="27" t="s">
        <v>143</v>
      </c>
      <c r="C86" s="23" t="s">
        <v>156</v>
      </c>
      <c r="D86" s="23" t="s">
        <v>167</v>
      </c>
      <c r="E86" s="23" t="s">
        <v>133</v>
      </c>
      <c r="F86" s="24">
        <v>10</v>
      </c>
      <c r="G86" s="24">
        <v>20000</v>
      </c>
      <c r="H86" s="24">
        <v>50000</v>
      </c>
      <c r="I86" s="24">
        <f t="shared" si="2"/>
        <v>200000</v>
      </c>
      <c r="J86" s="24">
        <f t="shared" si="3"/>
        <v>500000</v>
      </c>
      <c r="K86" s="31"/>
    </row>
    <row r="87" ht="17.6" customHeight="1" spans="1:11">
      <c r="A87" s="27" t="s">
        <v>168</v>
      </c>
      <c r="B87" s="27" t="s">
        <v>169</v>
      </c>
      <c r="C87" s="23" t="s">
        <v>170</v>
      </c>
      <c r="D87" s="23" t="s">
        <v>18</v>
      </c>
      <c r="E87" s="23" t="s">
        <v>18</v>
      </c>
      <c r="F87" s="24">
        <v>1</v>
      </c>
      <c r="G87" s="24">
        <v>1100</v>
      </c>
      <c r="H87" s="24">
        <v>3200</v>
      </c>
      <c r="I87" s="24">
        <f t="shared" si="2"/>
        <v>200000</v>
      </c>
      <c r="J87" s="24">
        <f t="shared" si="3"/>
        <v>500000</v>
      </c>
      <c r="K87" s="31"/>
    </row>
    <row r="88" ht="17.6" customHeight="1" spans="1:11">
      <c r="A88" s="27" t="s">
        <v>171</v>
      </c>
      <c r="B88" s="27" t="s">
        <v>169</v>
      </c>
      <c r="C88" s="23" t="s">
        <v>172</v>
      </c>
      <c r="D88" s="23" t="s">
        <v>173</v>
      </c>
      <c r="E88" s="23" t="s">
        <v>18</v>
      </c>
      <c r="F88" s="24">
        <v>20</v>
      </c>
      <c r="G88" s="24">
        <v>25</v>
      </c>
      <c r="H88" s="24">
        <v>100</v>
      </c>
      <c r="I88" s="24">
        <f t="shared" si="2"/>
        <v>1100</v>
      </c>
      <c r="J88" s="24">
        <f t="shared" si="3"/>
        <v>3200</v>
      </c>
      <c r="K88" s="31"/>
    </row>
    <row r="89" ht="17.6" customHeight="1" spans="1:11">
      <c r="A89" s="27" t="s">
        <v>174</v>
      </c>
      <c r="B89" s="27" t="s">
        <v>169</v>
      </c>
      <c r="C89" s="23" t="s">
        <v>172</v>
      </c>
      <c r="D89" s="23" t="s">
        <v>175</v>
      </c>
      <c r="E89" s="23" t="s">
        <v>18</v>
      </c>
      <c r="F89" s="24">
        <v>20</v>
      </c>
      <c r="G89" s="24">
        <v>25</v>
      </c>
      <c r="H89" s="24">
        <v>100</v>
      </c>
      <c r="I89" s="24">
        <f t="shared" si="2"/>
        <v>500</v>
      </c>
      <c r="J89" s="24">
        <f t="shared" si="3"/>
        <v>2000</v>
      </c>
      <c r="K89" s="31" t="s">
        <v>21</v>
      </c>
    </row>
    <row r="90" ht="17.6" customHeight="1" spans="1:11">
      <c r="A90" s="27" t="s">
        <v>176</v>
      </c>
      <c r="B90" s="27" t="s">
        <v>169</v>
      </c>
      <c r="C90" s="23" t="s">
        <v>172</v>
      </c>
      <c r="D90" s="23" t="s">
        <v>177</v>
      </c>
      <c r="E90" s="23" t="s">
        <v>18</v>
      </c>
      <c r="F90" s="24">
        <v>10</v>
      </c>
      <c r="G90" s="24">
        <v>25</v>
      </c>
      <c r="H90" s="24">
        <v>100</v>
      </c>
      <c r="I90" s="24">
        <f t="shared" si="2"/>
        <v>500</v>
      </c>
      <c r="J90" s="24">
        <f t="shared" si="3"/>
        <v>2000</v>
      </c>
      <c r="K90" s="31" t="s">
        <v>21</v>
      </c>
    </row>
    <row r="91" ht="17.6" customHeight="1" spans="1:11">
      <c r="A91" s="27" t="s">
        <v>178</v>
      </c>
      <c r="B91" s="27" t="s">
        <v>169</v>
      </c>
      <c r="C91" s="23" t="s">
        <v>179</v>
      </c>
      <c r="D91" s="23" t="s">
        <v>132</v>
      </c>
      <c r="E91" s="23" t="s">
        <v>133</v>
      </c>
      <c r="F91" s="24">
        <v>10</v>
      </c>
      <c r="G91" s="24">
        <v>12</v>
      </c>
      <c r="H91" s="24">
        <v>30</v>
      </c>
      <c r="I91" s="24">
        <f t="shared" si="2"/>
        <v>250</v>
      </c>
      <c r="J91" s="24">
        <f t="shared" si="3"/>
        <v>1000</v>
      </c>
      <c r="K91" s="31" t="s">
        <v>21</v>
      </c>
    </row>
    <row r="92" ht="17.6" customHeight="1" spans="1:11">
      <c r="A92" s="27" t="s">
        <v>180</v>
      </c>
      <c r="B92" s="27" t="s">
        <v>169</v>
      </c>
      <c r="C92" s="23" t="s">
        <v>179</v>
      </c>
      <c r="D92" s="23" t="s">
        <v>135</v>
      </c>
      <c r="E92" s="23" t="s">
        <v>133</v>
      </c>
      <c r="F92" s="24">
        <v>10</v>
      </c>
      <c r="G92" s="24">
        <v>12</v>
      </c>
      <c r="H92" s="24">
        <v>30</v>
      </c>
      <c r="I92" s="24">
        <f t="shared" si="2"/>
        <v>120</v>
      </c>
      <c r="J92" s="24">
        <f t="shared" si="3"/>
        <v>300</v>
      </c>
      <c r="K92" s="31" t="s">
        <v>21</v>
      </c>
    </row>
    <row r="93" ht="17.6" customHeight="1" spans="1:11">
      <c r="A93" s="27" t="s">
        <v>181</v>
      </c>
      <c r="B93" s="27" t="s">
        <v>169</v>
      </c>
      <c r="C93" s="23" t="s">
        <v>179</v>
      </c>
      <c r="D93" s="23" t="s">
        <v>137</v>
      </c>
      <c r="E93" s="23" t="s">
        <v>133</v>
      </c>
      <c r="F93" s="24">
        <v>10</v>
      </c>
      <c r="G93" s="24">
        <v>12</v>
      </c>
      <c r="H93" s="24">
        <v>30</v>
      </c>
      <c r="I93" s="24">
        <f t="shared" si="2"/>
        <v>120</v>
      </c>
      <c r="J93" s="24">
        <f t="shared" si="3"/>
        <v>300</v>
      </c>
      <c r="K93" s="31"/>
    </row>
    <row r="94" ht="17.6" customHeight="1" spans="1:11">
      <c r="A94" s="27" t="s">
        <v>182</v>
      </c>
      <c r="B94" s="27" t="s">
        <v>169</v>
      </c>
      <c r="C94" s="23" t="s">
        <v>179</v>
      </c>
      <c r="D94" s="23" t="s">
        <v>139</v>
      </c>
      <c r="E94" s="23" t="s">
        <v>133</v>
      </c>
      <c r="F94" s="24">
        <v>10</v>
      </c>
      <c r="G94" s="24">
        <v>12</v>
      </c>
      <c r="H94" s="24">
        <v>30</v>
      </c>
      <c r="I94" s="24">
        <f t="shared" si="2"/>
        <v>120</v>
      </c>
      <c r="J94" s="24">
        <f t="shared" si="3"/>
        <v>300</v>
      </c>
      <c r="K94" s="31"/>
    </row>
    <row r="95" ht="17.6" customHeight="1" spans="1:11">
      <c r="A95" s="27" t="s">
        <v>183</v>
      </c>
      <c r="B95" s="27" t="s">
        <v>169</v>
      </c>
      <c r="C95" s="23" t="s">
        <v>179</v>
      </c>
      <c r="D95" s="23" t="s">
        <v>141</v>
      </c>
      <c r="E95" s="23" t="s">
        <v>133</v>
      </c>
      <c r="F95" s="24">
        <v>10</v>
      </c>
      <c r="G95" s="24">
        <v>12</v>
      </c>
      <c r="H95" s="24">
        <v>30</v>
      </c>
      <c r="I95" s="24">
        <f t="shared" si="2"/>
        <v>120</v>
      </c>
      <c r="J95" s="24">
        <f t="shared" si="3"/>
        <v>300</v>
      </c>
      <c r="K95" s="31"/>
    </row>
    <row r="96" ht="17.6" customHeight="1" spans="1:11">
      <c r="A96" s="27" t="s">
        <v>184</v>
      </c>
      <c r="B96" s="27" t="s">
        <v>169</v>
      </c>
      <c r="C96" s="23" t="s">
        <v>185</v>
      </c>
      <c r="D96" s="23" t="s">
        <v>36</v>
      </c>
      <c r="E96" s="23" t="s">
        <v>133</v>
      </c>
      <c r="F96" s="24">
        <v>10</v>
      </c>
      <c r="G96" s="24">
        <v>5</v>
      </c>
      <c r="H96" s="24">
        <v>14</v>
      </c>
      <c r="I96" s="24">
        <f t="shared" si="2"/>
        <v>120</v>
      </c>
      <c r="J96" s="24">
        <f t="shared" si="3"/>
        <v>300</v>
      </c>
      <c r="K96" s="31"/>
    </row>
    <row r="97" ht="17.6" customHeight="1" spans="1:11">
      <c r="A97" s="27" t="s">
        <v>186</v>
      </c>
      <c r="B97" s="27" t="s">
        <v>169</v>
      </c>
      <c r="C97" s="23" t="s">
        <v>185</v>
      </c>
      <c r="D97" s="23" t="s">
        <v>124</v>
      </c>
      <c r="E97" s="23" t="s">
        <v>133</v>
      </c>
      <c r="F97" s="24">
        <v>10</v>
      </c>
      <c r="G97" s="24">
        <v>5</v>
      </c>
      <c r="H97" s="24">
        <v>14</v>
      </c>
      <c r="I97" s="24">
        <f t="shared" si="2"/>
        <v>50</v>
      </c>
      <c r="J97" s="24">
        <f t="shared" si="3"/>
        <v>140</v>
      </c>
      <c r="K97" s="31"/>
    </row>
    <row r="98" ht="17.6" customHeight="1" spans="1:11">
      <c r="A98" s="27" t="s">
        <v>187</v>
      </c>
      <c r="B98" s="27" t="s">
        <v>169</v>
      </c>
      <c r="C98" s="23" t="s">
        <v>185</v>
      </c>
      <c r="D98" s="23" t="s">
        <v>38</v>
      </c>
      <c r="E98" s="23" t="s">
        <v>133</v>
      </c>
      <c r="F98" s="24">
        <v>10</v>
      </c>
      <c r="G98" s="24">
        <v>5</v>
      </c>
      <c r="H98" s="24">
        <v>14</v>
      </c>
      <c r="I98" s="24">
        <f t="shared" si="2"/>
        <v>50</v>
      </c>
      <c r="J98" s="24">
        <f t="shared" si="3"/>
        <v>140</v>
      </c>
      <c r="K98" s="31"/>
    </row>
    <row r="99" ht="17.6" customHeight="1" spans="1:11">
      <c r="A99" s="27" t="s">
        <v>188</v>
      </c>
      <c r="B99" s="27" t="s">
        <v>169</v>
      </c>
      <c r="C99" s="23" t="s">
        <v>185</v>
      </c>
      <c r="D99" s="23" t="s">
        <v>40</v>
      </c>
      <c r="E99" s="23" t="s">
        <v>133</v>
      </c>
      <c r="F99" s="24">
        <v>10</v>
      </c>
      <c r="G99" s="24">
        <v>5</v>
      </c>
      <c r="H99" s="24">
        <v>14</v>
      </c>
      <c r="I99" s="24">
        <f t="shared" si="2"/>
        <v>50</v>
      </c>
      <c r="J99" s="24">
        <f t="shared" si="3"/>
        <v>140</v>
      </c>
      <c r="K99" s="31"/>
    </row>
    <row r="100" ht="17.6" customHeight="1" spans="1:11">
      <c r="A100" s="27" t="s">
        <v>189</v>
      </c>
      <c r="B100" s="27" t="s">
        <v>169</v>
      </c>
      <c r="C100" s="23" t="s">
        <v>185</v>
      </c>
      <c r="D100" s="23" t="s">
        <v>42</v>
      </c>
      <c r="E100" s="23" t="s">
        <v>133</v>
      </c>
      <c r="F100" s="24">
        <v>10</v>
      </c>
      <c r="G100" s="24">
        <v>5</v>
      </c>
      <c r="H100" s="24">
        <v>14</v>
      </c>
      <c r="I100" s="24">
        <f t="shared" si="2"/>
        <v>50</v>
      </c>
      <c r="J100" s="24">
        <f t="shared" si="3"/>
        <v>140</v>
      </c>
      <c r="K100" s="31"/>
    </row>
    <row r="101" ht="17.6" customHeight="1" spans="1:11">
      <c r="A101" s="27" t="s">
        <v>190</v>
      </c>
      <c r="B101" s="27" t="s">
        <v>169</v>
      </c>
      <c r="C101" s="23" t="s">
        <v>185</v>
      </c>
      <c r="D101" s="23" t="s">
        <v>44</v>
      </c>
      <c r="E101" s="23" t="s">
        <v>133</v>
      </c>
      <c r="F101" s="24">
        <v>10</v>
      </c>
      <c r="G101" s="24">
        <v>5</v>
      </c>
      <c r="H101" s="24">
        <v>14</v>
      </c>
      <c r="I101" s="24">
        <f t="shared" si="2"/>
        <v>50</v>
      </c>
      <c r="J101" s="24">
        <f t="shared" si="3"/>
        <v>140</v>
      </c>
      <c r="K101" s="31"/>
    </row>
    <row r="102" ht="17.6" customHeight="1" spans="1:11">
      <c r="A102" s="27" t="s">
        <v>191</v>
      </c>
      <c r="B102" s="27" t="s">
        <v>169</v>
      </c>
      <c r="C102" s="23" t="s">
        <v>185</v>
      </c>
      <c r="D102" s="23" t="s">
        <v>46</v>
      </c>
      <c r="E102" s="23" t="s">
        <v>133</v>
      </c>
      <c r="F102" s="24">
        <v>10</v>
      </c>
      <c r="G102" s="24">
        <v>5</v>
      </c>
      <c r="H102" s="24">
        <v>14</v>
      </c>
      <c r="I102" s="24">
        <f t="shared" si="2"/>
        <v>50</v>
      </c>
      <c r="J102" s="24">
        <f t="shared" si="3"/>
        <v>140</v>
      </c>
      <c r="K102" s="31"/>
    </row>
    <row r="103" ht="17.6" customHeight="1" spans="1:11">
      <c r="A103" s="27" t="s">
        <v>192</v>
      </c>
      <c r="B103" s="27" t="s">
        <v>169</v>
      </c>
      <c r="C103" s="23" t="s">
        <v>185</v>
      </c>
      <c r="D103" s="23" t="s">
        <v>48</v>
      </c>
      <c r="E103" s="23" t="s">
        <v>133</v>
      </c>
      <c r="F103" s="24">
        <v>10</v>
      </c>
      <c r="G103" s="24">
        <v>5</v>
      </c>
      <c r="H103" s="24">
        <v>14</v>
      </c>
      <c r="I103" s="24">
        <f t="shared" si="2"/>
        <v>50</v>
      </c>
      <c r="J103" s="24">
        <f t="shared" si="3"/>
        <v>140</v>
      </c>
      <c r="K103" s="31"/>
    </row>
    <row r="104" ht="17.6" customHeight="1" spans="1:11">
      <c r="A104" s="27" t="s">
        <v>193</v>
      </c>
      <c r="B104" s="27" t="s">
        <v>194</v>
      </c>
      <c r="C104" s="23" t="s">
        <v>195</v>
      </c>
      <c r="D104" s="23" t="s">
        <v>196</v>
      </c>
      <c r="E104" s="23" t="s">
        <v>197</v>
      </c>
      <c r="F104" s="32">
        <v>3</v>
      </c>
      <c r="G104" s="24">
        <v>15</v>
      </c>
      <c r="H104" s="24">
        <v>70</v>
      </c>
      <c r="I104" s="24">
        <f t="shared" si="2"/>
        <v>50</v>
      </c>
      <c r="J104" s="24">
        <f t="shared" si="3"/>
        <v>140</v>
      </c>
      <c r="K104" s="31" t="s">
        <v>21</v>
      </c>
    </row>
    <row r="105" ht="17.6" customHeight="1" spans="1:11">
      <c r="A105" s="27" t="s">
        <v>198</v>
      </c>
      <c r="B105" s="27" t="s">
        <v>194</v>
      </c>
      <c r="C105" s="23" t="s">
        <v>195</v>
      </c>
      <c r="D105" s="23" t="s">
        <v>199</v>
      </c>
      <c r="E105" s="23" t="s">
        <v>197</v>
      </c>
      <c r="F105" s="32">
        <v>3</v>
      </c>
      <c r="G105" s="24">
        <v>15</v>
      </c>
      <c r="H105" s="24">
        <v>70</v>
      </c>
      <c r="I105" s="24">
        <f t="shared" si="2"/>
        <v>45</v>
      </c>
      <c r="J105" s="24">
        <f t="shared" si="3"/>
        <v>210</v>
      </c>
      <c r="K105" s="31" t="s">
        <v>21</v>
      </c>
    </row>
    <row r="106" ht="17.6" customHeight="1" spans="1:11">
      <c r="A106" s="27" t="s">
        <v>200</v>
      </c>
      <c r="B106" s="27" t="s">
        <v>194</v>
      </c>
      <c r="C106" s="23" t="s">
        <v>195</v>
      </c>
      <c r="D106" s="23" t="s">
        <v>201</v>
      </c>
      <c r="E106" s="23" t="s">
        <v>197</v>
      </c>
      <c r="F106" s="32">
        <v>3</v>
      </c>
      <c r="G106" s="24">
        <v>15</v>
      </c>
      <c r="H106" s="24">
        <v>70</v>
      </c>
      <c r="I106" s="24">
        <f t="shared" si="2"/>
        <v>45</v>
      </c>
      <c r="J106" s="24">
        <f t="shared" si="3"/>
        <v>210</v>
      </c>
      <c r="K106" s="31"/>
    </row>
    <row r="107" ht="17.6" customHeight="1" spans="1:11">
      <c r="A107" s="27" t="s">
        <v>202</v>
      </c>
      <c r="B107" s="27" t="s">
        <v>194</v>
      </c>
      <c r="C107" s="23" t="s">
        <v>195</v>
      </c>
      <c r="D107" s="23" t="s">
        <v>203</v>
      </c>
      <c r="E107" s="23" t="s">
        <v>197</v>
      </c>
      <c r="F107" s="32">
        <v>3</v>
      </c>
      <c r="G107" s="24">
        <v>15</v>
      </c>
      <c r="H107" s="24">
        <v>70</v>
      </c>
      <c r="I107" s="24">
        <f t="shared" si="2"/>
        <v>45</v>
      </c>
      <c r="J107" s="24">
        <f t="shared" si="3"/>
        <v>210</v>
      </c>
      <c r="K107" s="31"/>
    </row>
    <row r="108" ht="17.6" customHeight="1" spans="1:11">
      <c r="A108" s="27" t="s">
        <v>204</v>
      </c>
      <c r="B108" s="27" t="s">
        <v>194</v>
      </c>
      <c r="C108" s="23" t="s">
        <v>195</v>
      </c>
      <c r="D108" s="23" t="s">
        <v>205</v>
      </c>
      <c r="E108" s="23" t="s">
        <v>197</v>
      </c>
      <c r="F108" s="32">
        <v>3</v>
      </c>
      <c r="G108" s="24">
        <v>15</v>
      </c>
      <c r="H108" s="24">
        <v>70</v>
      </c>
      <c r="I108" s="24">
        <f t="shared" si="2"/>
        <v>45</v>
      </c>
      <c r="J108" s="24">
        <f t="shared" si="3"/>
        <v>210</v>
      </c>
      <c r="K108" s="31"/>
    </row>
    <row r="109" ht="17.6" customHeight="1" spans="1:11">
      <c r="A109" s="27" t="s">
        <v>206</v>
      </c>
      <c r="B109" s="27" t="s">
        <v>194</v>
      </c>
      <c r="C109" s="23" t="s">
        <v>195</v>
      </c>
      <c r="D109" s="23" t="s">
        <v>207</v>
      </c>
      <c r="E109" s="23" t="s">
        <v>197</v>
      </c>
      <c r="F109" s="32">
        <v>3</v>
      </c>
      <c r="G109" s="24">
        <v>15</v>
      </c>
      <c r="H109" s="24">
        <v>70</v>
      </c>
      <c r="I109" s="24">
        <f t="shared" si="2"/>
        <v>45</v>
      </c>
      <c r="J109" s="24">
        <f t="shared" si="3"/>
        <v>210</v>
      </c>
      <c r="K109" s="31"/>
    </row>
    <row r="110" ht="17.6" customHeight="1" spans="1:11">
      <c r="A110" s="27" t="s">
        <v>208</v>
      </c>
      <c r="B110" s="27" t="s">
        <v>194</v>
      </c>
      <c r="C110" s="23" t="s">
        <v>195</v>
      </c>
      <c r="D110" s="23" t="s">
        <v>209</v>
      </c>
      <c r="E110" s="23" t="s">
        <v>197</v>
      </c>
      <c r="F110" s="32">
        <v>3</v>
      </c>
      <c r="G110" s="24">
        <v>15</v>
      </c>
      <c r="H110" s="24">
        <v>70</v>
      </c>
      <c r="I110" s="24">
        <f t="shared" si="2"/>
        <v>45</v>
      </c>
      <c r="J110" s="24">
        <f t="shared" si="3"/>
        <v>210</v>
      </c>
      <c r="K110" s="31"/>
    </row>
    <row r="111" ht="17.6" customHeight="1" spans="1:11">
      <c r="A111" s="27" t="s">
        <v>210</v>
      </c>
      <c r="B111" s="27" t="s">
        <v>194</v>
      </c>
      <c r="C111" s="23" t="s">
        <v>195</v>
      </c>
      <c r="D111" s="23" t="s">
        <v>211</v>
      </c>
      <c r="E111" s="23" t="s">
        <v>197</v>
      </c>
      <c r="F111" s="32">
        <v>3</v>
      </c>
      <c r="G111" s="24">
        <v>15</v>
      </c>
      <c r="H111" s="24">
        <v>70</v>
      </c>
      <c r="I111" s="24">
        <f t="shared" si="2"/>
        <v>45</v>
      </c>
      <c r="J111" s="24">
        <f t="shared" si="3"/>
        <v>210</v>
      </c>
      <c r="K111" s="31"/>
    </row>
    <row r="112" ht="17.6" customHeight="1" spans="1:11">
      <c r="A112" s="27" t="s">
        <v>212</v>
      </c>
      <c r="B112" s="27" t="s">
        <v>194</v>
      </c>
      <c r="C112" s="23" t="s">
        <v>213</v>
      </c>
      <c r="D112" s="23" t="s">
        <v>214</v>
      </c>
      <c r="E112" s="23" t="s">
        <v>215</v>
      </c>
      <c r="F112" s="32">
        <v>4</v>
      </c>
      <c r="G112" s="24">
        <v>15</v>
      </c>
      <c r="H112" s="24">
        <v>75</v>
      </c>
      <c r="I112" s="24">
        <f t="shared" si="2"/>
        <v>45</v>
      </c>
      <c r="J112" s="24">
        <f t="shared" si="3"/>
        <v>210</v>
      </c>
      <c r="K112" s="31" t="s">
        <v>21</v>
      </c>
    </row>
    <row r="113" ht="17.6" customHeight="1" spans="1:11">
      <c r="A113" s="27" t="s">
        <v>216</v>
      </c>
      <c r="B113" s="27" t="s">
        <v>194</v>
      </c>
      <c r="C113" s="23" t="s">
        <v>213</v>
      </c>
      <c r="D113" s="23" t="s">
        <v>129</v>
      </c>
      <c r="E113" s="23" t="s">
        <v>215</v>
      </c>
      <c r="F113" s="32">
        <v>4</v>
      </c>
      <c r="G113" s="24">
        <v>15</v>
      </c>
      <c r="H113" s="24">
        <v>75</v>
      </c>
      <c r="I113" s="24">
        <f t="shared" si="2"/>
        <v>60</v>
      </c>
      <c r="J113" s="24">
        <f t="shared" si="3"/>
        <v>300</v>
      </c>
      <c r="K113" s="31" t="s">
        <v>21</v>
      </c>
    </row>
    <row r="114" ht="17.6" customHeight="1" spans="1:11">
      <c r="A114" s="27" t="s">
        <v>217</v>
      </c>
      <c r="B114" s="27" t="s">
        <v>194</v>
      </c>
      <c r="C114" s="23" t="s">
        <v>213</v>
      </c>
      <c r="D114" s="23" t="s">
        <v>54</v>
      </c>
      <c r="E114" s="23" t="s">
        <v>215</v>
      </c>
      <c r="F114" s="32">
        <v>4</v>
      </c>
      <c r="G114" s="24">
        <v>15</v>
      </c>
      <c r="H114" s="24">
        <v>75</v>
      </c>
      <c r="I114" s="24">
        <f t="shared" si="2"/>
        <v>60</v>
      </c>
      <c r="J114" s="24">
        <f t="shared" si="3"/>
        <v>300</v>
      </c>
      <c r="K114" s="31" t="s">
        <v>21</v>
      </c>
    </row>
    <row r="115" ht="17.6" customHeight="1" spans="1:11">
      <c r="A115" s="27" t="s">
        <v>218</v>
      </c>
      <c r="B115" s="27" t="s">
        <v>194</v>
      </c>
      <c r="C115" s="23" t="s">
        <v>219</v>
      </c>
      <c r="D115" s="23" t="s">
        <v>220</v>
      </c>
      <c r="E115" s="23" t="s">
        <v>197</v>
      </c>
      <c r="F115" s="32">
        <v>3</v>
      </c>
      <c r="G115" s="24">
        <v>15</v>
      </c>
      <c r="H115" s="24">
        <v>90</v>
      </c>
      <c r="I115" s="24">
        <f t="shared" si="2"/>
        <v>60</v>
      </c>
      <c r="J115" s="24">
        <f t="shared" si="3"/>
        <v>300</v>
      </c>
      <c r="K115" s="31" t="s">
        <v>21</v>
      </c>
    </row>
    <row r="116" ht="17.6" customHeight="1" spans="1:11">
      <c r="A116" s="27" t="s">
        <v>221</v>
      </c>
      <c r="B116" s="27" t="s">
        <v>194</v>
      </c>
      <c r="C116" s="23" t="s">
        <v>219</v>
      </c>
      <c r="D116" s="23" t="s">
        <v>199</v>
      </c>
      <c r="E116" s="23" t="s">
        <v>197</v>
      </c>
      <c r="F116" s="32">
        <v>3</v>
      </c>
      <c r="G116" s="24">
        <v>15</v>
      </c>
      <c r="H116" s="24">
        <v>90</v>
      </c>
      <c r="I116" s="24">
        <f t="shared" si="2"/>
        <v>45</v>
      </c>
      <c r="J116" s="24">
        <f t="shared" si="3"/>
        <v>270</v>
      </c>
      <c r="K116" s="31" t="s">
        <v>21</v>
      </c>
    </row>
    <row r="117" ht="17.6" customHeight="1" spans="1:11">
      <c r="A117" s="27" t="s">
        <v>222</v>
      </c>
      <c r="B117" s="27" t="s">
        <v>194</v>
      </c>
      <c r="C117" s="23" t="s">
        <v>219</v>
      </c>
      <c r="D117" s="23" t="s">
        <v>223</v>
      </c>
      <c r="E117" s="23" t="s">
        <v>197</v>
      </c>
      <c r="F117" s="32">
        <v>3</v>
      </c>
      <c r="G117" s="24">
        <v>15</v>
      </c>
      <c r="H117" s="24">
        <v>90</v>
      </c>
      <c r="I117" s="24">
        <f t="shared" si="2"/>
        <v>45</v>
      </c>
      <c r="J117" s="24">
        <f t="shared" si="3"/>
        <v>270</v>
      </c>
      <c r="K117" s="31" t="s">
        <v>21</v>
      </c>
    </row>
    <row r="118" ht="17.6" customHeight="1" spans="1:11">
      <c r="A118" s="27" t="s">
        <v>224</v>
      </c>
      <c r="B118" s="27" t="s">
        <v>194</v>
      </c>
      <c r="C118" s="23" t="s">
        <v>219</v>
      </c>
      <c r="D118" s="23" t="s">
        <v>225</v>
      </c>
      <c r="E118" s="23" t="s">
        <v>197</v>
      </c>
      <c r="F118" s="32">
        <v>3</v>
      </c>
      <c r="G118" s="24">
        <v>15</v>
      </c>
      <c r="H118" s="24">
        <v>90</v>
      </c>
      <c r="I118" s="24">
        <f t="shared" si="2"/>
        <v>45</v>
      </c>
      <c r="J118" s="24">
        <f t="shared" si="3"/>
        <v>270</v>
      </c>
      <c r="K118" s="31"/>
    </row>
    <row r="119" ht="17.6" customHeight="1" spans="1:11">
      <c r="A119" s="27" t="s">
        <v>226</v>
      </c>
      <c r="B119" s="27" t="s">
        <v>194</v>
      </c>
      <c r="C119" s="23" t="s">
        <v>219</v>
      </c>
      <c r="D119" s="23" t="s">
        <v>207</v>
      </c>
      <c r="E119" s="23" t="s">
        <v>197</v>
      </c>
      <c r="F119" s="32">
        <v>3</v>
      </c>
      <c r="G119" s="24">
        <v>15</v>
      </c>
      <c r="H119" s="24">
        <v>90</v>
      </c>
      <c r="I119" s="24">
        <f t="shared" si="2"/>
        <v>45</v>
      </c>
      <c r="J119" s="24">
        <f t="shared" si="3"/>
        <v>270</v>
      </c>
      <c r="K119" s="31"/>
    </row>
    <row r="120" ht="17.6" customHeight="1" spans="1:11">
      <c r="A120" s="27" t="s">
        <v>227</v>
      </c>
      <c r="B120" s="27" t="s">
        <v>194</v>
      </c>
      <c r="C120" s="23" t="s">
        <v>219</v>
      </c>
      <c r="D120" s="23" t="s">
        <v>228</v>
      </c>
      <c r="E120" s="23" t="s">
        <v>197</v>
      </c>
      <c r="F120" s="32">
        <v>3</v>
      </c>
      <c r="G120" s="24">
        <v>15</v>
      </c>
      <c r="H120" s="24">
        <v>90</v>
      </c>
      <c r="I120" s="24">
        <f t="shared" si="2"/>
        <v>45</v>
      </c>
      <c r="J120" s="24">
        <f t="shared" si="3"/>
        <v>270</v>
      </c>
      <c r="K120" s="31"/>
    </row>
    <row r="121" ht="17.6" customHeight="1" spans="1:11">
      <c r="A121" s="27" t="s">
        <v>229</v>
      </c>
      <c r="B121" s="27" t="s">
        <v>194</v>
      </c>
      <c r="C121" s="23" t="s">
        <v>230</v>
      </c>
      <c r="D121" s="23" t="s">
        <v>220</v>
      </c>
      <c r="E121" s="23" t="s">
        <v>197</v>
      </c>
      <c r="F121" s="32">
        <v>3</v>
      </c>
      <c r="G121" s="24">
        <v>15</v>
      </c>
      <c r="H121" s="24">
        <v>90</v>
      </c>
      <c r="I121" s="24">
        <f t="shared" si="2"/>
        <v>45</v>
      </c>
      <c r="J121" s="24">
        <f t="shared" si="3"/>
        <v>270</v>
      </c>
      <c r="K121" s="31"/>
    </row>
    <row r="122" ht="17.6" customHeight="1" spans="1:11">
      <c r="A122" s="27" t="s">
        <v>231</v>
      </c>
      <c r="B122" s="27" t="s">
        <v>194</v>
      </c>
      <c r="C122" s="23" t="s">
        <v>230</v>
      </c>
      <c r="D122" s="23" t="s">
        <v>199</v>
      </c>
      <c r="E122" s="23" t="s">
        <v>197</v>
      </c>
      <c r="F122" s="32">
        <v>3</v>
      </c>
      <c r="G122" s="24">
        <v>15</v>
      </c>
      <c r="H122" s="24">
        <v>90</v>
      </c>
      <c r="I122" s="24">
        <f t="shared" si="2"/>
        <v>45</v>
      </c>
      <c r="J122" s="24">
        <f t="shared" si="3"/>
        <v>270</v>
      </c>
      <c r="K122" s="31"/>
    </row>
    <row r="123" ht="17.6" customHeight="1" spans="1:11">
      <c r="A123" s="27" t="s">
        <v>232</v>
      </c>
      <c r="B123" s="27" t="s">
        <v>194</v>
      </c>
      <c r="C123" s="23" t="s">
        <v>230</v>
      </c>
      <c r="D123" s="23" t="s">
        <v>223</v>
      </c>
      <c r="E123" s="23" t="s">
        <v>197</v>
      </c>
      <c r="F123" s="32">
        <v>3</v>
      </c>
      <c r="G123" s="24">
        <v>15</v>
      </c>
      <c r="H123" s="24">
        <v>90</v>
      </c>
      <c r="I123" s="24">
        <f t="shared" si="2"/>
        <v>45</v>
      </c>
      <c r="J123" s="24">
        <f t="shared" si="3"/>
        <v>270</v>
      </c>
      <c r="K123" s="31"/>
    </row>
    <row r="124" ht="17.6" customHeight="1" spans="1:11">
      <c r="A124" s="27" t="s">
        <v>233</v>
      </c>
      <c r="B124" s="27" t="s">
        <v>194</v>
      </c>
      <c r="C124" s="23" t="s">
        <v>230</v>
      </c>
      <c r="D124" s="23" t="s">
        <v>225</v>
      </c>
      <c r="E124" s="23" t="s">
        <v>197</v>
      </c>
      <c r="F124" s="32">
        <v>3</v>
      </c>
      <c r="G124" s="24">
        <v>15</v>
      </c>
      <c r="H124" s="24">
        <v>90</v>
      </c>
      <c r="I124" s="24">
        <f t="shared" si="2"/>
        <v>45</v>
      </c>
      <c r="J124" s="24">
        <f t="shared" si="3"/>
        <v>270</v>
      </c>
      <c r="K124" s="31"/>
    </row>
    <row r="125" ht="17.6" customHeight="1" spans="1:11">
      <c r="A125" s="27" t="s">
        <v>234</v>
      </c>
      <c r="B125" s="27" t="s">
        <v>194</v>
      </c>
      <c r="C125" s="23" t="s">
        <v>230</v>
      </c>
      <c r="D125" s="23" t="s">
        <v>207</v>
      </c>
      <c r="E125" s="23" t="s">
        <v>197</v>
      </c>
      <c r="F125" s="32">
        <v>3</v>
      </c>
      <c r="G125" s="24">
        <v>15</v>
      </c>
      <c r="H125" s="24">
        <v>90</v>
      </c>
      <c r="I125" s="24">
        <f t="shared" si="2"/>
        <v>45</v>
      </c>
      <c r="J125" s="24">
        <f t="shared" si="3"/>
        <v>270</v>
      </c>
      <c r="K125" s="31"/>
    </row>
    <row r="126" ht="17.6" customHeight="1" spans="1:11">
      <c r="A126" s="27" t="s">
        <v>235</v>
      </c>
      <c r="B126" s="27" t="s">
        <v>194</v>
      </c>
      <c r="C126" s="23" t="s">
        <v>230</v>
      </c>
      <c r="D126" s="23" t="s">
        <v>228</v>
      </c>
      <c r="E126" s="23" t="s">
        <v>197</v>
      </c>
      <c r="F126" s="32">
        <v>3</v>
      </c>
      <c r="G126" s="24">
        <v>15</v>
      </c>
      <c r="H126" s="24">
        <v>90</v>
      </c>
      <c r="I126" s="24">
        <f t="shared" si="2"/>
        <v>45</v>
      </c>
      <c r="J126" s="24">
        <f t="shared" si="3"/>
        <v>270</v>
      </c>
      <c r="K126" s="31"/>
    </row>
    <row r="127" ht="17.6" customHeight="1" spans="1:11">
      <c r="A127" s="27" t="s">
        <v>236</v>
      </c>
      <c r="B127" s="27" t="s">
        <v>237</v>
      </c>
      <c r="C127" s="23" t="s">
        <v>238</v>
      </c>
      <c r="D127" s="23" t="s">
        <v>239</v>
      </c>
      <c r="E127" s="23" t="s">
        <v>240</v>
      </c>
      <c r="F127" s="24">
        <v>130</v>
      </c>
      <c r="G127" s="24">
        <v>5</v>
      </c>
      <c r="H127" s="24">
        <v>14</v>
      </c>
      <c r="I127" s="24">
        <f t="shared" si="2"/>
        <v>45</v>
      </c>
      <c r="J127" s="24">
        <f t="shared" si="3"/>
        <v>270</v>
      </c>
      <c r="K127" s="31" t="s">
        <v>21</v>
      </c>
    </row>
    <row r="128" ht="21.6" customHeight="1" spans="1:11">
      <c r="A128" s="33" t="s">
        <v>241</v>
      </c>
      <c r="B128" s="33" t="s">
        <v>242</v>
      </c>
      <c r="C128" s="34" t="s">
        <v>243</v>
      </c>
      <c r="D128" s="34" t="s">
        <v>18</v>
      </c>
      <c r="E128" s="34" t="s">
        <v>18</v>
      </c>
      <c r="F128" s="26">
        <v>1</v>
      </c>
      <c r="G128" s="26">
        <v>700</v>
      </c>
      <c r="H128" s="26">
        <v>1600</v>
      </c>
      <c r="I128" s="26">
        <f t="shared" si="2"/>
        <v>650</v>
      </c>
      <c r="J128" s="26">
        <f t="shared" si="3"/>
        <v>1820</v>
      </c>
      <c r="K128" s="31"/>
    </row>
  </sheetData>
  <mergeCells count="2">
    <mergeCell ref="A1:J1"/>
    <mergeCell ref="A2:J2"/>
  </mergeCells>
  <conditionalFormatting sqref="F5:F127">
    <cfRule type="cellIs" dxfId="8" priority="1" operator="lessThanOrEqual">
      <formula>5</formula>
    </cfRule>
  </conditionalFormatting>
  <dataValidations count="1">
    <dataValidation type="list" sqref="K5:K127">
      <formula1>"Yes,No"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workbookViewId="0">
      <selection activeCell="F9" sqref="F9"/>
    </sheetView>
  </sheetViews>
  <sheetFormatPr defaultColWidth="9" defaultRowHeight="13.8"/>
  <cols>
    <col min="1" max="1" width="8" customWidth="1"/>
    <col min="2" max="2" width="14" customWidth="1"/>
    <col min="3" max="3" width="30" customWidth="1"/>
    <col min="4" max="4" width="18" customWidth="1"/>
    <col min="5" max="7" width="12" customWidth="1"/>
    <col min="8" max="10" width="14" customWidth="1"/>
    <col min="11" max="11" width="12" customWidth="1"/>
  </cols>
  <sheetData>
    <row r="1" ht="24" customHeight="1" spans="1:1">
      <c r="A1" s="4" t="s">
        <v>0</v>
      </c>
    </row>
    <row r="2" spans="1:1">
      <c r="A2" s="9" t="s">
        <v>244</v>
      </c>
    </row>
    <row r="3" spans="1:11">
      <c r="A3" s="5" t="s">
        <v>245</v>
      </c>
      <c r="H3" s="10" t="s">
        <v>246</v>
      </c>
      <c r="I3" s="10" t="s">
        <v>18</v>
      </c>
      <c r="J3" s="10" t="s">
        <v>18</v>
      </c>
      <c r="K3" s="10" t="s">
        <v>18</v>
      </c>
    </row>
    <row r="4" spans="8:9">
      <c r="H4" s="3" t="s">
        <v>247</v>
      </c>
      <c r="I4" s="7">
        <f>SUM(I7:I36)</f>
        <v>60000</v>
      </c>
    </row>
    <row r="5" spans="1:11">
      <c r="A5" s="11"/>
      <c r="B5" s="11"/>
      <c r="C5" s="11"/>
      <c r="D5" s="11"/>
      <c r="E5" s="11"/>
      <c r="F5" s="11"/>
      <c r="G5" s="11"/>
      <c r="H5" s="12" t="s">
        <v>248</v>
      </c>
      <c r="I5" s="16">
        <f>SUM(J7:J36)</f>
        <v>205000</v>
      </c>
      <c r="J5" s="11"/>
      <c r="K5" s="11"/>
    </row>
    <row r="6" spans="1:11">
      <c r="A6" s="13" t="s">
        <v>249</v>
      </c>
      <c r="B6" s="13" t="s">
        <v>3</v>
      </c>
      <c r="C6" s="13" t="s">
        <v>5</v>
      </c>
      <c r="D6" s="13" t="s">
        <v>6</v>
      </c>
      <c r="E6" s="13" t="s">
        <v>250</v>
      </c>
      <c r="F6" s="13" t="s">
        <v>251</v>
      </c>
      <c r="G6" s="13" t="s">
        <v>9</v>
      </c>
      <c r="H6" s="13" t="s">
        <v>10</v>
      </c>
      <c r="I6" s="17" t="s">
        <v>247</v>
      </c>
      <c r="J6" s="13" t="s">
        <v>248</v>
      </c>
      <c r="K6" s="13" t="s">
        <v>252</v>
      </c>
    </row>
    <row r="7" spans="1:11">
      <c r="A7" s="11">
        <f t="shared" ref="A7:A36" si="0">IF(B7="","",ROW()-6)</f>
        <v>1</v>
      </c>
      <c r="B7" s="11" t="str">
        <f>IFERROR(INDEX(_xlfn._xlws.FILTER(Catalog!$A$6:$A$128,(Catalog!$K$6:$K$128="GENERATE ORDER")+(Catalog!$K$6:$K$128="Yes")),ROW()-6),"")</f>
        <v>CS35-L16</v>
      </c>
      <c r="C7" s="11" t="str">
        <f>IF($B7="","",_xlfn.XLOOKUP($B7,Catalog!$A$6:$A$128,Catalog!$C$6:$C$128,""))</f>
        <v>3.5 Cortex Screw</v>
      </c>
      <c r="D7" s="11" t="str">
        <f>IF($B7="","",_xlfn.XLOOKUP($B7,Catalog!$A$6:$A$128,Catalog!$D$6:$D$128,""))</f>
        <v>L16</v>
      </c>
      <c r="E7" s="14">
        <v>300</v>
      </c>
      <c r="F7" s="14">
        <v>10</v>
      </c>
      <c r="G7" s="14">
        <f>IF($B7="","",_xlfn.XLOOKUP($B7,Catalog!$A$6:$A$128,Catalog!$G$6:$G$128,""))</f>
        <v>4000</v>
      </c>
      <c r="H7" s="15">
        <f>IF($B7="","",_xlfn.XLOOKUP($B7,Catalog!$A$6:$A$128,Catalog!$H$6:$H$128,""))</f>
        <v>13000</v>
      </c>
      <c r="I7" s="14">
        <f t="shared" ref="I7:I36" si="1">IF(OR($F7="",G7=""),"",$F7*G7)</f>
        <v>40000</v>
      </c>
      <c r="J7" s="14">
        <f t="shared" ref="J7:J36" si="2">IF(OR($F7="",H7=""),"",$F7*H7)</f>
        <v>130000</v>
      </c>
      <c r="K7" s="14">
        <f t="shared" ref="K7:K36" si="3">IF(OR(I7="",J7=""),"",J7-I7)</f>
        <v>90000</v>
      </c>
    </row>
    <row r="8" spans="1:11">
      <c r="A8" s="11">
        <f t="shared" si="0"/>
        <v>2</v>
      </c>
      <c r="B8" s="11" t="str">
        <f>IFERROR(INDEX(_xlfn._xlws.FILTER(Catalog!$A$6:$A$128,(Catalog!$K$6:$K$128="GENERATE ORDER")+(Catalog!$K$6:$K$128="Yes")),ROW()-6),"")</f>
        <v>CS45-L20</v>
      </c>
      <c r="C8" s="11" t="str">
        <f>IF($B8="","",_xlfn.XLOOKUP($B8,Catalog!$A$6:$A$128,Catalog!$C$6:$C$128,""))</f>
        <v>4.5 Cortex Screw</v>
      </c>
      <c r="D8" s="11" t="str">
        <f>IF($B8="","",_xlfn.XLOOKUP($B8,Catalog!$A$6:$A$128,Catalog!$D$6:$D$128,""))</f>
        <v>L20</v>
      </c>
      <c r="E8" s="14">
        <v>200</v>
      </c>
      <c r="F8" s="14">
        <v>5</v>
      </c>
      <c r="G8" s="14">
        <f>IF($B8="","",_xlfn.XLOOKUP($B8,Catalog!$A$6:$A$128,Catalog!$G$6:$G$128,""))</f>
        <v>4000</v>
      </c>
      <c r="H8" s="14">
        <f>IF($B8="","",_xlfn.XLOOKUP($B8,Catalog!$A$6:$A$128,Catalog!$H$6:$H$128,""))</f>
        <v>15000</v>
      </c>
      <c r="I8" s="14">
        <f t="shared" si="1"/>
        <v>20000</v>
      </c>
      <c r="J8" s="14">
        <f t="shared" si="2"/>
        <v>75000</v>
      </c>
      <c r="K8" s="14">
        <f t="shared" si="3"/>
        <v>55000</v>
      </c>
    </row>
    <row r="9" spans="1:11">
      <c r="A9" s="11">
        <f t="shared" si="0"/>
        <v>3</v>
      </c>
      <c r="B9" s="11" t="str">
        <f>IFERROR(INDEX(_xlfn._xlws.FILTER(Catalog!$A$6:$A$128,(Catalog!$K$6:$K$128="GENERATE ORDER")+(Catalog!$K$6:$K$128="Yes")),ROW()-6),"")</f>
        <v>DCP35-6H</v>
      </c>
      <c r="C9" s="11" t="str">
        <f>IF($B9="","",_xlfn.XLOOKUP($B9,Catalog!$A$6:$A$128,Catalog!$C$6:$C$128,""))</f>
        <v>3.5 DCP Plate</v>
      </c>
      <c r="D9" s="11" t="str">
        <f>IF($B9="","",_xlfn.XLOOKUP($B9,Catalog!$A$6:$A$128,Catalog!$D$6:$D$128,""))</f>
        <v>6 holes</v>
      </c>
      <c r="E9" s="14">
        <v>50</v>
      </c>
      <c r="F9" s="14"/>
      <c r="G9" s="14">
        <f>IF($B9="","",_xlfn.XLOOKUP($B9,Catalog!$A$6:$A$128,Catalog!$G$6:$G$128,""))</f>
        <v>20000</v>
      </c>
      <c r="H9" s="14">
        <f>IF($B9="","",_xlfn.XLOOKUP($B9,Catalog!$A$6:$A$128,Catalog!$H$6:$H$128,""))</f>
        <v>80000</v>
      </c>
      <c r="I9" s="14" t="str">
        <f t="shared" si="1"/>
        <v/>
      </c>
      <c r="J9" s="14" t="str">
        <f t="shared" si="2"/>
        <v/>
      </c>
      <c r="K9" s="14" t="str">
        <f t="shared" si="3"/>
        <v/>
      </c>
    </row>
    <row r="10" spans="1:11">
      <c r="A10" s="11">
        <f t="shared" si="0"/>
        <v>4</v>
      </c>
      <c r="B10" s="11" t="str">
        <f>IFERROR(INDEX(_xlfn._xlws.FILTER(Catalog!$A$6:$A$128,(Catalog!$K$6:$K$128="GENERATE ORDER")+(Catalog!$K$6:$K$128="Yes")),ROW()-6),"")</f>
        <v>EXT-S</v>
      </c>
      <c r="C10" s="11" t="str">
        <f>IF($B10="","",_xlfn.XLOOKUP($B10,Catalog!$A$6:$A$128,Catalog!$C$6:$C$128,""))</f>
        <v>External Fixator</v>
      </c>
      <c r="D10" s="11" t="str">
        <f>IF($B10="","",_xlfn.XLOOKUP($B10,Catalog!$A$6:$A$128,Catalog!$D$6:$D$128,""))</f>
        <v>Small</v>
      </c>
      <c r="E10" s="14">
        <v>20</v>
      </c>
      <c r="F10" s="14"/>
      <c r="G10" s="14">
        <f>IF($B10="","",_xlfn.XLOOKUP($B10,Catalog!$A$6:$A$128,Catalog!$G$6:$G$128,""))</f>
        <v>75000</v>
      </c>
      <c r="H10" s="14">
        <f>IF($B10="","",_xlfn.XLOOKUP($B10,Catalog!$A$6:$A$128,Catalog!$H$6:$H$128,""))</f>
        <v>350000</v>
      </c>
      <c r="I10" s="14" t="str">
        <f t="shared" si="1"/>
        <v/>
      </c>
      <c r="J10" s="14" t="str">
        <f t="shared" si="2"/>
        <v/>
      </c>
      <c r="K10" s="14" t="str">
        <f t="shared" si="3"/>
        <v/>
      </c>
    </row>
    <row r="11" spans="1:11">
      <c r="A11" s="11">
        <f t="shared" si="0"/>
        <v>5</v>
      </c>
      <c r="B11" s="11" t="str">
        <f>IFERROR(INDEX(_xlfn._xlws.FILTER(Catalog!$A$6:$A$128,(Catalog!$K$6:$K$128="GENERATE ORDER")+(Catalog!$K$6:$K$128="Yes")),ROW()-6),"")</f>
        <v>KW-1.2</v>
      </c>
      <c r="C11" s="11" t="str">
        <f>IF($B11="","",_xlfn.XLOOKUP($B11,Catalog!$A$6:$A$128,Catalog!$C$6:$C$128,""))</f>
        <v>K-Wire</v>
      </c>
      <c r="D11" s="11" t="str">
        <f>IF($B11="","",_xlfn.XLOOKUP($B11,Catalog!$A$6:$A$128,Catalog!$D$6:$D$128,""))</f>
        <v>1.2 mm</v>
      </c>
      <c r="E11" s="14">
        <v>200</v>
      </c>
      <c r="F11" s="14"/>
      <c r="G11" s="14">
        <f>IF($B11="","",_xlfn.XLOOKUP($B11,Catalog!$A$6:$A$128,Catalog!$G$6:$G$128,""))</f>
        <v>1200</v>
      </c>
      <c r="H11" s="14">
        <f>IF($B11="","",_xlfn.XLOOKUP($B11,Catalog!$A$6:$A$128,Catalog!$H$6:$H$128,""))</f>
        <v>18000</v>
      </c>
      <c r="I11" s="14" t="str">
        <f t="shared" si="1"/>
        <v/>
      </c>
      <c r="J11" s="14" t="str">
        <f t="shared" si="2"/>
        <v/>
      </c>
      <c r="K11" s="14" t="str">
        <f t="shared" si="3"/>
        <v/>
      </c>
    </row>
    <row r="12" spans="1:11">
      <c r="A12" s="11">
        <f t="shared" si="0"/>
        <v>6</v>
      </c>
      <c r="B12" s="11" t="str">
        <f>IFERROR(INDEX(_xlfn._xlws.FILTER(Catalog!$A$6:$A$128,(Catalog!$K$6:$K$128="GENERATE ORDER")+(Catalog!$K$6:$K$128="Yes")),ROW()-6),"")</f>
        <v>KW-1.5</v>
      </c>
      <c r="C12" s="11" t="str">
        <f>IF($B12="","",_xlfn.XLOOKUP($B12,Catalog!$A$6:$A$128,Catalog!$C$6:$C$128,""))</f>
        <v>K-Wire</v>
      </c>
      <c r="D12" s="11" t="str">
        <f>IF($B12="","",_xlfn.XLOOKUP($B12,Catalog!$A$6:$A$128,Catalog!$D$6:$D$128,""))</f>
        <v>1.5 mm</v>
      </c>
      <c r="E12" s="14">
        <v>1</v>
      </c>
      <c r="F12" s="14"/>
      <c r="G12" s="14">
        <f>IF($B12="","",_xlfn.XLOOKUP($B12,Catalog!$A$6:$A$128,Catalog!$G$6:$G$128,""))</f>
        <v>1200</v>
      </c>
      <c r="H12" s="14">
        <f>IF($B12="","",_xlfn.XLOOKUP($B12,Catalog!$A$6:$A$128,Catalog!$H$6:$H$128,""))</f>
        <v>18000</v>
      </c>
      <c r="I12" s="14" t="str">
        <f t="shared" si="1"/>
        <v/>
      </c>
      <c r="J12" s="14" t="str">
        <f t="shared" si="2"/>
        <v/>
      </c>
      <c r="K12" s="14" t="str">
        <f t="shared" si="3"/>
        <v/>
      </c>
    </row>
    <row r="13" spans="1:11">
      <c r="A13" s="11">
        <f t="shared" si="0"/>
        <v>7</v>
      </c>
      <c r="B13" s="11" t="str">
        <f>IFERROR(INDEX(_xlfn._xlws.FILTER(Catalog!$A$6:$A$128,(Catalog!$K$6:$K$128="GENERATE ORDER")+(Catalog!$K$6:$K$128="Yes")),ROW()-6),"")</f>
        <v>KW-1.7</v>
      </c>
      <c r="C13" s="11" t="str">
        <f>IF($B13="","",_xlfn.XLOOKUP($B13,Catalog!$A$6:$A$128,Catalog!$C$6:$C$128,""))</f>
        <v>K-Wire</v>
      </c>
      <c r="D13" s="11" t="str">
        <f>IF($B13="","",_xlfn.XLOOKUP($B13,Catalog!$A$6:$A$128,Catalog!$D$6:$D$128,""))</f>
        <v>1.7 mm</v>
      </c>
      <c r="E13" s="14">
        <v>1</v>
      </c>
      <c r="F13" s="14"/>
      <c r="G13" s="14">
        <f>IF($B13="","",_xlfn.XLOOKUP($B13,Catalog!$A$6:$A$128,Catalog!$G$6:$G$128,""))</f>
        <v>1200</v>
      </c>
      <c r="H13" s="14">
        <f>IF($B13="","",_xlfn.XLOOKUP($B13,Catalog!$A$6:$A$128,Catalog!$H$6:$H$128,""))</f>
        <v>18000</v>
      </c>
      <c r="I13" s="14" t="str">
        <f t="shared" si="1"/>
        <v/>
      </c>
      <c r="J13" s="14" t="str">
        <f t="shared" si="2"/>
        <v/>
      </c>
      <c r="K13" s="14" t="str">
        <f t="shared" si="3"/>
        <v/>
      </c>
    </row>
    <row r="14" spans="1:11">
      <c r="A14" s="11">
        <f t="shared" si="0"/>
        <v>8</v>
      </c>
      <c r="B14" s="11" t="str">
        <f>IFERROR(INDEX(_xlfn._xlws.FILTER(Catalog!$A$6:$A$128,(Catalog!$K$6:$K$128="GENERATE ORDER")+(Catalog!$K$6:$K$128="Yes")),ROW()-6),"")</f>
        <v>TEN-1.5</v>
      </c>
      <c r="C14" s="11" t="str">
        <f>IF($B14="","",_xlfn.XLOOKUP($B14,Catalog!$A$6:$A$128,Catalog!$C$6:$C$128,""))</f>
        <v>Titanium Elastic Nail</v>
      </c>
      <c r="D14" s="11" t="str">
        <f>IF($B14="","",_xlfn.XLOOKUP($B14,Catalog!$A$6:$A$128,Catalog!$D$6:$D$128,""))</f>
        <v>1.5 mm</v>
      </c>
      <c r="E14" s="14">
        <v>30</v>
      </c>
      <c r="F14" s="14"/>
      <c r="G14" s="14">
        <f>IF($B14="","",_xlfn.XLOOKUP($B14,Catalog!$A$6:$A$128,Catalog!$G$6:$G$128,""))</f>
        <v>15000</v>
      </c>
      <c r="H14" s="14">
        <f>IF($B14="","",_xlfn.XLOOKUP($B14,Catalog!$A$6:$A$128,Catalog!$H$6:$H$128,""))</f>
        <v>50000</v>
      </c>
      <c r="I14" s="14" t="str">
        <f t="shared" si="1"/>
        <v/>
      </c>
      <c r="J14" s="14" t="str">
        <f t="shared" si="2"/>
        <v/>
      </c>
      <c r="K14" s="14" t="str">
        <f t="shared" si="3"/>
        <v/>
      </c>
    </row>
    <row r="15" spans="1:11">
      <c r="A15" s="11">
        <f t="shared" si="0"/>
        <v>9</v>
      </c>
      <c r="B15" s="11" t="str">
        <f>IFERROR(INDEX(_xlfn._xlws.FILTER(Catalog!$A$6:$A$128,(Catalog!$K$6:$K$128="GENERATE ORDER")+(Catalog!$K$6:$K$128="Yes")),ROW()-6),"")</f>
        <v>TEN-2.0</v>
      </c>
      <c r="C15" s="11" t="str">
        <f>IF($B15="","",_xlfn.XLOOKUP($B15,Catalog!$A$6:$A$128,Catalog!$C$6:$C$128,""))</f>
        <v>Titanium Elastic Nail</v>
      </c>
      <c r="D15" s="11" t="str">
        <f>IF($B15="","",_xlfn.XLOOKUP($B15,Catalog!$A$6:$A$128,Catalog!$D$6:$D$128,""))</f>
        <v>2.0 mm</v>
      </c>
      <c r="E15" s="14">
        <v>30</v>
      </c>
      <c r="F15" s="14"/>
      <c r="G15" s="14">
        <f>IF($B15="","",_xlfn.XLOOKUP($B15,Catalog!$A$6:$A$128,Catalog!$G$6:$G$128,""))</f>
        <v>15000</v>
      </c>
      <c r="H15" s="14">
        <f>IF($B15="","",_xlfn.XLOOKUP($B15,Catalog!$A$6:$A$128,Catalog!$H$6:$H$128,""))</f>
        <v>50000</v>
      </c>
      <c r="I15" s="14" t="str">
        <f t="shared" si="1"/>
        <v/>
      </c>
      <c r="J15" s="14" t="str">
        <f t="shared" si="2"/>
        <v/>
      </c>
      <c r="K15" s="14" t="str">
        <f t="shared" si="3"/>
        <v/>
      </c>
    </row>
    <row r="16" spans="1:11">
      <c r="A16" s="11">
        <f t="shared" si="0"/>
        <v>10</v>
      </c>
      <c r="B16" s="11" t="str">
        <f>IFERROR(INDEX(_xlfn._xlws.FILTER(Catalog!$A$6:$A$128,(Catalog!$K$6:$K$128="GENERATE ORDER")+(Catalog!$K$6:$K$128="Yes")),ROW()-6),"")</f>
        <v>TEN-2.5</v>
      </c>
      <c r="C16" s="11" t="str">
        <f>IF($B16="","",_xlfn.XLOOKUP($B16,Catalog!$A$6:$A$128,Catalog!$C$6:$C$128,""))</f>
        <v>Titanium Elastic Nail</v>
      </c>
      <c r="D16" s="11" t="str">
        <f>IF($B16="","",_xlfn.XLOOKUP($B16,Catalog!$A$6:$A$128,Catalog!$D$6:$D$128,""))</f>
        <v>2.5 mm</v>
      </c>
      <c r="E16" s="14">
        <v>30</v>
      </c>
      <c r="F16" s="14"/>
      <c r="G16" s="14">
        <f>IF($B16="","",_xlfn.XLOOKUP($B16,Catalog!$A$6:$A$128,Catalog!$G$6:$G$128,""))</f>
        <v>15000</v>
      </c>
      <c r="H16" s="14">
        <f>IF($B16="","",_xlfn.XLOOKUP($B16,Catalog!$A$6:$A$128,Catalog!$H$6:$H$128,""))</f>
        <v>50000</v>
      </c>
      <c r="I16" s="14" t="str">
        <f t="shared" si="1"/>
        <v/>
      </c>
      <c r="J16" s="14" t="str">
        <f t="shared" si="2"/>
        <v/>
      </c>
      <c r="K16" s="14" t="str">
        <f t="shared" si="3"/>
        <v/>
      </c>
    </row>
    <row r="17" spans="1:11">
      <c r="A17" s="11">
        <f t="shared" si="0"/>
        <v>11</v>
      </c>
      <c r="B17" s="11" t="str">
        <f>IFERROR(INDEX(_xlfn._xlws.FILTER(Catalog!$A$6:$A$128,(Catalog!$K$6:$K$128="GENERATE ORDER")+(Catalog!$K$6:$K$128="Yes")),ROW()-6),"")</f>
        <v>TEN-3.0</v>
      </c>
      <c r="C17" s="11" t="str">
        <f>IF($B17="","",_xlfn.XLOOKUP($B17,Catalog!$A$6:$A$128,Catalog!$C$6:$C$128,""))</f>
        <v>Titanium Elastic Nail</v>
      </c>
      <c r="D17" s="11" t="str">
        <f>IF($B17="","",_xlfn.XLOOKUP($B17,Catalog!$A$6:$A$128,Catalog!$D$6:$D$128,""))</f>
        <v>3.0 mm</v>
      </c>
      <c r="E17" s="14">
        <v>30</v>
      </c>
      <c r="F17" s="14"/>
      <c r="G17" s="14">
        <f>IF($B17="","",_xlfn.XLOOKUP($B17,Catalog!$A$6:$A$128,Catalog!$G$6:$G$128,""))</f>
        <v>15000</v>
      </c>
      <c r="H17" s="14">
        <f>IF($B17="","",_xlfn.XLOOKUP($B17,Catalog!$A$6:$A$128,Catalog!$H$6:$H$128,""))</f>
        <v>50000</v>
      </c>
      <c r="I17" s="14" t="str">
        <f t="shared" si="1"/>
        <v/>
      </c>
      <c r="J17" s="14" t="str">
        <f t="shared" si="2"/>
        <v/>
      </c>
      <c r="K17" s="14" t="str">
        <f t="shared" si="3"/>
        <v/>
      </c>
    </row>
    <row r="18" spans="1:11">
      <c r="A18" s="11">
        <f t="shared" si="0"/>
        <v>12</v>
      </c>
      <c r="B18" s="11" t="str">
        <f>IFERROR(INDEX(_xlfn._xlws.FILTER(Catalog!$A$6:$A$128,(Catalog!$K$6:$K$128="GENERATE ORDER")+(Catalog!$K$6:$K$128="Yes")),ROW()-6),"")</f>
        <v>TEN-3.5</v>
      </c>
      <c r="C18" s="11" t="str">
        <f>IF($B18="","",_xlfn.XLOOKUP($B18,Catalog!$A$6:$A$128,Catalog!$C$6:$C$128,""))</f>
        <v>Titanium Elastic Nail</v>
      </c>
      <c r="D18" s="11" t="str">
        <f>IF($B18="","",_xlfn.XLOOKUP($B18,Catalog!$A$6:$A$128,Catalog!$D$6:$D$128,""))</f>
        <v>3.5 mm</v>
      </c>
      <c r="E18" s="14">
        <v>30</v>
      </c>
      <c r="F18" s="14"/>
      <c r="G18" s="14">
        <f>IF($B18="","",_xlfn.XLOOKUP($B18,Catalog!$A$6:$A$128,Catalog!$G$6:$G$128,""))</f>
        <v>15000</v>
      </c>
      <c r="H18" s="14">
        <f>IF($B18="","",_xlfn.XLOOKUP($B18,Catalog!$A$6:$A$128,Catalog!$H$6:$H$128,""))</f>
        <v>50000</v>
      </c>
      <c r="I18" s="14" t="str">
        <f t="shared" si="1"/>
        <v/>
      </c>
      <c r="J18" s="14" t="str">
        <f t="shared" si="2"/>
        <v/>
      </c>
      <c r="K18" s="14" t="str">
        <f t="shared" si="3"/>
        <v/>
      </c>
    </row>
    <row r="19" spans="1:11">
      <c r="A19" s="11">
        <f t="shared" si="0"/>
        <v>13</v>
      </c>
      <c r="B19" s="11" t="str">
        <f>IFERROR(INDEX(_xlfn._xlws.FILTER(Catalog!$A$6:$A$128,(Catalog!$K$6:$K$128="GENERATE ORDER")+(Catalog!$K$6:$K$128="Yes")),ROW()-6),"")</f>
        <v>CCS40-L16</v>
      </c>
      <c r="C19" s="11" t="str">
        <f>IF($B19="","",_xlfn.XLOOKUP($B19,Catalog!$A$6:$A$128,Catalog!$C$6:$C$128,""))</f>
        <v>4.0 Cancellous Screw</v>
      </c>
      <c r="D19" s="11" t="str">
        <f>IF($B19="","",_xlfn.XLOOKUP($B19,Catalog!$A$6:$A$128,Catalog!$D$6:$D$128,""))</f>
        <v>L16</v>
      </c>
      <c r="E19" s="14">
        <v>200</v>
      </c>
      <c r="F19" s="14"/>
      <c r="G19" s="14">
        <f>IF($B19="","",_xlfn.XLOOKUP($B19,Catalog!$A$6:$A$128,Catalog!$G$6:$G$128,""))</f>
        <v>6000</v>
      </c>
      <c r="H19" s="14">
        <f>IF($B19="","",_xlfn.XLOOKUP($B19,Catalog!$A$6:$A$128,Catalog!$H$6:$H$128,""))</f>
        <v>25000</v>
      </c>
      <c r="I19" s="14" t="str">
        <f t="shared" si="1"/>
        <v/>
      </c>
      <c r="J19" s="14" t="str">
        <f t="shared" si="2"/>
        <v/>
      </c>
      <c r="K19" s="14" t="str">
        <f t="shared" si="3"/>
        <v/>
      </c>
    </row>
    <row r="20" spans="1:11">
      <c r="A20" s="11">
        <f t="shared" si="0"/>
        <v>14</v>
      </c>
      <c r="B20" s="11" t="str">
        <f>IFERROR(INDEX(_xlfn._xlws.FILTER(Catalog!$A$6:$A$128,(Catalog!$K$6:$K$128="GENERATE ORDER")+(Catalog!$K$6:$K$128="Yes")),ROW()-6),"")</f>
        <v>GAM-NAIL-11</v>
      </c>
      <c r="C20" s="11" t="str">
        <f>IF($B20="","",_xlfn.XLOOKUP($B20,Catalog!$A$6:$A$128,Catalog!$C$6:$C$128,""))</f>
        <v>Gamma Nail</v>
      </c>
      <c r="D20" s="11" t="str">
        <f>IF($B20="","",_xlfn.XLOOKUP($B20,Catalog!$A$6:$A$128,Catalog!$D$6:$D$128,""))</f>
        <v>11 mm</v>
      </c>
      <c r="E20" s="14">
        <v>30</v>
      </c>
      <c r="F20" s="14"/>
      <c r="G20" s="14">
        <f>IF($B20="","",_xlfn.XLOOKUP($B20,Catalog!$A$6:$A$128,Catalog!$G$6:$G$128,""))</f>
        <v>25</v>
      </c>
      <c r="H20" s="14">
        <f>IF($B20="","",_xlfn.XLOOKUP($B20,Catalog!$A$6:$A$128,Catalog!$H$6:$H$128,""))</f>
        <v>100</v>
      </c>
      <c r="I20" s="14" t="str">
        <f t="shared" si="1"/>
        <v/>
      </c>
      <c r="J20" s="14" t="str">
        <f t="shared" si="2"/>
        <v/>
      </c>
      <c r="K20" s="14" t="str">
        <f t="shared" si="3"/>
        <v/>
      </c>
    </row>
    <row r="21" spans="1:11">
      <c r="A21" s="11">
        <f t="shared" si="0"/>
        <v>15</v>
      </c>
      <c r="B21" s="11" t="str">
        <f>IFERROR(INDEX(_xlfn._xlws.FILTER(Catalog!$A$6:$A$128,(Catalog!$K$6:$K$128="GENERATE ORDER")+(Catalog!$K$6:$K$128="Yes")),ROW()-6),"")</f>
        <v>GAM-NAIL-12</v>
      </c>
      <c r="C21" s="11" t="str">
        <f>IF($B21="","",_xlfn.XLOOKUP($B21,Catalog!$A$6:$A$128,Catalog!$C$6:$C$128,""))</f>
        <v>Gamma Nail</v>
      </c>
      <c r="D21" s="11" t="str">
        <f>IF($B21="","",_xlfn.XLOOKUP($B21,Catalog!$A$6:$A$128,Catalog!$D$6:$D$128,""))</f>
        <v>12 mm</v>
      </c>
      <c r="E21" s="14">
        <v>30</v>
      </c>
      <c r="F21" s="14"/>
      <c r="G21" s="14">
        <f>IF($B21="","",_xlfn.XLOOKUP($B21,Catalog!$A$6:$A$128,Catalog!$G$6:$G$128,""))</f>
        <v>25</v>
      </c>
      <c r="H21" s="14">
        <f>IF($B21="","",_xlfn.XLOOKUP($B21,Catalog!$A$6:$A$128,Catalog!$H$6:$H$128,""))</f>
        <v>100</v>
      </c>
      <c r="I21" s="14" t="str">
        <f t="shared" si="1"/>
        <v/>
      </c>
      <c r="J21" s="14" t="str">
        <f t="shared" si="2"/>
        <v/>
      </c>
      <c r="K21" s="14" t="str">
        <f t="shared" si="3"/>
        <v/>
      </c>
    </row>
    <row r="22" spans="1:11">
      <c r="A22" s="11">
        <f t="shared" si="0"/>
        <v>16</v>
      </c>
      <c r="B22" s="11" t="str">
        <f>IFERROR(INDEX(_xlfn._xlws.FILTER(Catalog!$A$6:$A$128,(Catalog!$K$6:$K$128="GENERATE ORDER")+(Catalog!$K$6:$K$128="Yes")),ROW()-6),"")</f>
        <v>GAM-LAG-L80</v>
      </c>
      <c r="C22" s="11" t="str">
        <f>IF($B22="","",_xlfn.XLOOKUP($B22,Catalog!$A$6:$A$128,Catalog!$C$6:$C$128,""))</f>
        <v>Lag Screw for Gamma Nail</v>
      </c>
      <c r="D22" s="11" t="str">
        <f>IF($B22="","",_xlfn.XLOOKUP($B22,Catalog!$A$6:$A$128,Catalog!$D$6:$D$128,""))</f>
        <v>L80</v>
      </c>
      <c r="E22" s="14">
        <v>50</v>
      </c>
      <c r="F22" s="14"/>
      <c r="G22" s="14">
        <f>IF($B22="","",_xlfn.XLOOKUP($B22,Catalog!$A$6:$A$128,Catalog!$G$6:$G$128,""))</f>
        <v>12</v>
      </c>
      <c r="H22" s="14">
        <f>IF($B22="","",_xlfn.XLOOKUP($B22,Catalog!$A$6:$A$128,Catalog!$H$6:$H$128,""))</f>
        <v>30</v>
      </c>
      <c r="I22" s="14" t="str">
        <f t="shared" si="1"/>
        <v/>
      </c>
      <c r="J22" s="14" t="str">
        <f t="shared" si="2"/>
        <v/>
      </c>
      <c r="K22" s="14" t="str">
        <f t="shared" si="3"/>
        <v/>
      </c>
    </row>
    <row r="23" spans="1:11">
      <c r="A23" s="11">
        <f t="shared" si="0"/>
        <v>17</v>
      </c>
      <c r="B23" s="11" t="str">
        <f>IFERROR(INDEX(_xlfn._xlws.FILTER(Catalog!$A$6:$A$128,(Catalog!$K$6:$K$128="GENERATE ORDER")+(Catalog!$K$6:$K$128="Yes")),ROW()-6),"")</f>
        <v>GAM-LAG-L85</v>
      </c>
      <c r="C23" s="11" t="str">
        <f>IF($B23="","",_xlfn.XLOOKUP($B23,Catalog!$A$6:$A$128,Catalog!$C$6:$C$128,""))</f>
        <v>Lag Screw for Gamma Nail</v>
      </c>
      <c r="D23" s="11" t="str">
        <f>IF($B23="","",_xlfn.XLOOKUP($B23,Catalog!$A$6:$A$128,Catalog!$D$6:$D$128,""))</f>
        <v>L85</v>
      </c>
      <c r="E23" s="14">
        <v>50</v>
      </c>
      <c r="F23" s="14"/>
      <c r="G23" s="14">
        <f>IF($B23="","",_xlfn.XLOOKUP($B23,Catalog!$A$6:$A$128,Catalog!$G$6:$G$128,""))</f>
        <v>12</v>
      </c>
      <c r="H23" s="14">
        <f>IF($B23="","",_xlfn.XLOOKUP($B23,Catalog!$A$6:$A$128,Catalog!$H$6:$H$128,""))</f>
        <v>30</v>
      </c>
      <c r="I23" s="14" t="str">
        <f t="shared" si="1"/>
        <v/>
      </c>
      <c r="J23" s="14" t="str">
        <f t="shared" si="2"/>
        <v/>
      </c>
      <c r="K23" s="14" t="str">
        <f t="shared" si="3"/>
        <v/>
      </c>
    </row>
    <row r="24" spans="1:11">
      <c r="A24" s="11">
        <f t="shared" si="0"/>
        <v>18</v>
      </c>
      <c r="B24" s="11" t="str">
        <f>IFERROR(INDEX(_xlfn._xlws.FILTER(Catalog!$A$6:$A$128,(Catalog!$K$6:$K$128="GENERATE ORDER")+(Catalog!$K$6:$K$128="Yes")),ROW()-6),"")</f>
        <v>DFLP-L-5H</v>
      </c>
      <c r="C24" s="11" t="str">
        <f>IF($B24="","",_xlfn.XLOOKUP($B24,Catalog!$A$6:$A$128,Catalog!$C$6:$C$128,""))</f>
        <v>Distal Femur Locked Plate</v>
      </c>
      <c r="D24" s="11" t="str">
        <f>IF($B24="","",_xlfn.XLOOKUP($B24,Catalog!$A$6:$A$128,Catalog!$D$6:$D$128,""))</f>
        <v>Left / 5 holes</v>
      </c>
      <c r="E24" s="14">
        <v>24</v>
      </c>
      <c r="F24" s="14"/>
      <c r="G24" s="14">
        <f>IF($B24="","",_xlfn.XLOOKUP($B24,Catalog!$A$6:$A$128,Catalog!$G$6:$G$128,""))</f>
        <v>15</v>
      </c>
      <c r="H24" s="14">
        <f>IF($B24="","",_xlfn.XLOOKUP($B24,Catalog!$A$6:$A$128,Catalog!$H$6:$H$128,""))</f>
        <v>70</v>
      </c>
      <c r="I24" s="14" t="str">
        <f t="shared" si="1"/>
        <v/>
      </c>
      <c r="J24" s="14" t="str">
        <f t="shared" si="2"/>
        <v/>
      </c>
      <c r="K24" s="14" t="str">
        <f t="shared" si="3"/>
        <v/>
      </c>
    </row>
    <row r="25" spans="1:11">
      <c r="A25" s="11">
        <f t="shared" si="0"/>
        <v>19</v>
      </c>
      <c r="B25" s="11" t="str">
        <f>IFERROR(INDEX(_xlfn._xlws.FILTER(Catalog!$A$6:$A$128,(Catalog!$K$6:$K$128="GENERATE ORDER")+(Catalog!$K$6:$K$128="Yes")),ROW()-6),"")</f>
        <v>DFLP-L-7H</v>
      </c>
      <c r="C25" s="11" t="str">
        <f>IF($B25="","",_xlfn.XLOOKUP($B25,Catalog!$A$6:$A$128,Catalog!$C$6:$C$128,""))</f>
        <v>Distal Femur Locked Plate</v>
      </c>
      <c r="D25" s="11" t="str">
        <f>IF($B25="","",_xlfn.XLOOKUP($B25,Catalog!$A$6:$A$128,Catalog!$D$6:$D$128,""))</f>
        <v>Left / 7 holes</v>
      </c>
      <c r="E25" s="14">
        <f>IF($B25="","",_xlfn.XLOOKUP($B25,Catalog!$A$6:$A$128,Catalog!$F$6:$F$128,""))</f>
        <v>3</v>
      </c>
      <c r="F25" s="14"/>
      <c r="G25" s="14">
        <f>IF($B25="","",_xlfn.XLOOKUP($B25,Catalog!$A$6:$A$128,Catalog!$G$6:$G$128,""))</f>
        <v>15</v>
      </c>
      <c r="H25" s="14">
        <f>IF($B25="","",_xlfn.XLOOKUP($B25,Catalog!$A$6:$A$128,Catalog!$H$6:$H$128,""))</f>
        <v>70</v>
      </c>
      <c r="I25" s="14" t="str">
        <f t="shared" si="1"/>
        <v/>
      </c>
      <c r="J25" s="14" t="str">
        <f t="shared" si="2"/>
        <v/>
      </c>
      <c r="K25" s="14" t="str">
        <f t="shared" si="3"/>
        <v/>
      </c>
    </row>
    <row r="26" spans="1:11">
      <c r="A26" s="11">
        <f t="shared" si="0"/>
        <v>20</v>
      </c>
      <c r="B26" s="11" t="str">
        <f>IFERROR(INDEX(_xlfn._xlws.FILTER(Catalog!$A$6:$A$128,(Catalog!$K$6:$K$128="GENERATE ORDER")+(Catalog!$K$6:$K$128="Yes")),ROW()-6),"")</f>
        <v>PHLP-3H</v>
      </c>
      <c r="C26" s="11" t="str">
        <f>IF($B26="","",_xlfn.XLOOKUP($B26,Catalog!$A$6:$A$128,Catalog!$C$6:$C$128,""))</f>
        <v>Proximal Humerus Locked Plate</v>
      </c>
      <c r="D26" s="11" t="str">
        <f>IF($B26="","",_xlfn.XLOOKUP($B26,Catalog!$A$6:$A$128,Catalog!$D$6:$D$128,""))</f>
        <v>3 holes</v>
      </c>
      <c r="E26" s="14">
        <f>IF($B26="","",_xlfn.XLOOKUP($B26,Catalog!$A$6:$A$128,Catalog!$F$6:$F$128,""))</f>
        <v>4</v>
      </c>
      <c r="F26" s="14"/>
      <c r="G26" s="14">
        <f>IF($B26="","",_xlfn.XLOOKUP($B26,Catalog!$A$6:$A$128,Catalog!$G$6:$G$128,""))</f>
        <v>15</v>
      </c>
      <c r="H26" s="14">
        <f>IF($B26="","",_xlfn.XLOOKUP($B26,Catalog!$A$6:$A$128,Catalog!$H$6:$H$128,""))</f>
        <v>75</v>
      </c>
      <c r="I26" s="14" t="str">
        <f t="shared" si="1"/>
        <v/>
      </c>
      <c r="J26" s="14" t="str">
        <f t="shared" si="2"/>
        <v/>
      </c>
      <c r="K26" s="14" t="str">
        <f t="shared" si="3"/>
        <v/>
      </c>
    </row>
    <row r="27" spans="1:11">
      <c r="A27" s="11">
        <f t="shared" si="0"/>
        <v>21</v>
      </c>
      <c r="B27" s="11" t="str">
        <f>IFERROR(INDEX(_xlfn._xlws.FILTER(Catalog!$A$6:$A$128,(Catalog!$K$6:$K$128="GENERATE ORDER")+(Catalog!$K$6:$K$128="Yes")),ROW()-6),"")</f>
        <v>PHLP-4H</v>
      </c>
      <c r="C27" s="11" t="str">
        <f>IF($B27="","",_xlfn.XLOOKUP($B27,Catalog!$A$6:$A$128,Catalog!$C$6:$C$128,""))</f>
        <v>Proximal Humerus Locked Plate</v>
      </c>
      <c r="D27" s="11" t="str">
        <f>IF($B27="","",_xlfn.XLOOKUP($B27,Catalog!$A$6:$A$128,Catalog!$D$6:$D$128,""))</f>
        <v>4 holes</v>
      </c>
      <c r="E27" s="14">
        <f>IF($B27="","",_xlfn.XLOOKUP($B27,Catalog!$A$6:$A$128,Catalog!$F$6:$F$128,""))</f>
        <v>4</v>
      </c>
      <c r="F27" s="14"/>
      <c r="G27" s="14">
        <f>IF($B27="","",_xlfn.XLOOKUP($B27,Catalog!$A$6:$A$128,Catalog!$G$6:$G$128,""))</f>
        <v>15</v>
      </c>
      <c r="H27" s="14">
        <f>IF($B27="","",_xlfn.XLOOKUP($B27,Catalog!$A$6:$A$128,Catalog!$H$6:$H$128,""))</f>
        <v>75</v>
      </c>
      <c r="I27" s="14" t="str">
        <f t="shared" si="1"/>
        <v/>
      </c>
      <c r="J27" s="14" t="str">
        <f t="shared" si="2"/>
        <v/>
      </c>
      <c r="K27" s="14" t="str">
        <f t="shared" si="3"/>
        <v/>
      </c>
    </row>
    <row r="28" spans="1:11">
      <c r="A28" s="11">
        <f t="shared" si="0"/>
        <v>22</v>
      </c>
      <c r="B28" s="11" t="str">
        <f>IFERROR(INDEX(_xlfn._xlws.FILTER(Catalog!$A$6:$A$128,(Catalog!$K$6:$K$128="GENERATE ORDER")+(Catalog!$K$6:$K$128="Yes")),ROW()-6),"")</f>
        <v>PHLP-5H</v>
      </c>
      <c r="C28" s="11" t="str">
        <f>IF($B28="","",_xlfn.XLOOKUP($B28,Catalog!$A$6:$A$128,Catalog!$C$6:$C$128,""))</f>
        <v>Proximal Humerus Locked Plate</v>
      </c>
      <c r="D28" s="11" t="str">
        <f>IF($B28="","",_xlfn.XLOOKUP($B28,Catalog!$A$6:$A$128,Catalog!$D$6:$D$128,""))</f>
        <v>5 holes</v>
      </c>
      <c r="E28" s="14">
        <f>IF($B28="","",_xlfn.XLOOKUP($B28,Catalog!$A$6:$A$128,Catalog!$F$6:$F$128,""))</f>
        <v>4</v>
      </c>
      <c r="F28" s="14"/>
      <c r="G28" s="14">
        <f>IF($B28="","",_xlfn.XLOOKUP($B28,Catalog!$A$6:$A$128,Catalog!$G$6:$G$128,""))</f>
        <v>15</v>
      </c>
      <c r="H28" s="14">
        <f>IF($B28="","",_xlfn.XLOOKUP($B28,Catalog!$A$6:$A$128,Catalog!$H$6:$H$128,""))</f>
        <v>75</v>
      </c>
      <c r="I28" s="14" t="str">
        <f t="shared" si="1"/>
        <v/>
      </c>
      <c r="J28" s="14" t="str">
        <f t="shared" si="2"/>
        <v/>
      </c>
      <c r="K28" s="14" t="str">
        <f t="shared" si="3"/>
        <v/>
      </c>
    </row>
    <row r="29" spans="1:11">
      <c r="A29" s="11">
        <f t="shared" si="0"/>
        <v>23</v>
      </c>
      <c r="B29" s="11" t="str">
        <f>IFERROR(INDEX(_xlfn._xlws.FILTER(Catalog!$A$6:$A$128,(Catalog!$K$6:$K$128="GENERATE ORDER")+(Catalog!$K$6:$K$128="Yes")),ROW()-6),"")</f>
        <v>DTLP-L-6H</v>
      </c>
      <c r="C29" s="11" t="str">
        <f>IF($B29="","",_xlfn.XLOOKUP($B29,Catalog!$A$6:$A$128,Catalog!$C$6:$C$128,""))</f>
        <v>Distal Tibia Locked Plate</v>
      </c>
      <c r="D29" s="11" t="str">
        <f>IF($B29="","",_xlfn.XLOOKUP($B29,Catalog!$A$6:$A$128,Catalog!$D$6:$D$128,""))</f>
        <v>Left / 6 holes</v>
      </c>
      <c r="E29" s="14">
        <f>IF($B29="","",_xlfn.XLOOKUP($B29,Catalog!$A$6:$A$128,Catalog!$F$6:$F$128,""))</f>
        <v>3</v>
      </c>
      <c r="F29" s="14"/>
      <c r="G29" s="14">
        <f>IF($B29="","",_xlfn.XLOOKUP($B29,Catalog!$A$6:$A$128,Catalog!$G$6:$G$128,""))</f>
        <v>15</v>
      </c>
      <c r="H29" s="14">
        <f>IF($B29="","",_xlfn.XLOOKUP($B29,Catalog!$A$6:$A$128,Catalog!$H$6:$H$128,""))</f>
        <v>90</v>
      </c>
      <c r="I29" s="14" t="str">
        <f t="shared" si="1"/>
        <v/>
      </c>
      <c r="J29" s="14" t="str">
        <f t="shared" si="2"/>
        <v/>
      </c>
      <c r="K29" s="14" t="str">
        <f t="shared" si="3"/>
        <v/>
      </c>
    </row>
    <row r="30" spans="1:11">
      <c r="A30" s="11">
        <f t="shared" si="0"/>
        <v>24</v>
      </c>
      <c r="B30" s="11" t="str">
        <f>IFERROR(INDEX(_xlfn._xlws.FILTER(Catalog!$A$6:$A$128,(Catalog!$K$6:$K$128="GENERATE ORDER")+(Catalog!$K$6:$K$128="Yes")),ROW()-6),"")</f>
        <v>DTLP-L-7H</v>
      </c>
      <c r="C30" s="11" t="str">
        <f>IF($B30="","",_xlfn.XLOOKUP($B30,Catalog!$A$6:$A$128,Catalog!$C$6:$C$128,""))</f>
        <v>Distal Tibia Locked Plate</v>
      </c>
      <c r="D30" s="11" t="str">
        <f>IF($B30="","",_xlfn.XLOOKUP($B30,Catalog!$A$6:$A$128,Catalog!$D$6:$D$128,""))</f>
        <v>Left / 7 holes</v>
      </c>
      <c r="E30" s="14">
        <f>IF($B30="","",_xlfn.XLOOKUP($B30,Catalog!$A$6:$A$128,Catalog!$F$6:$F$128,""))</f>
        <v>3</v>
      </c>
      <c r="F30" s="14"/>
      <c r="G30" s="14">
        <f>IF($B30="","",_xlfn.XLOOKUP($B30,Catalog!$A$6:$A$128,Catalog!$G$6:$G$128,""))</f>
        <v>15</v>
      </c>
      <c r="H30" s="14">
        <f>IF($B30="","",_xlfn.XLOOKUP($B30,Catalog!$A$6:$A$128,Catalog!$H$6:$H$128,""))</f>
        <v>90</v>
      </c>
      <c r="I30" s="14" t="str">
        <f t="shared" si="1"/>
        <v/>
      </c>
      <c r="J30" s="14" t="str">
        <f t="shared" si="2"/>
        <v/>
      </c>
      <c r="K30" s="14" t="str">
        <f t="shared" si="3"/>
        <v/>
      </c>
    </row>
    <row r="31" spans="1:11">
      <c r="A31" s="11">
        <f t="shared" si="0"/>
        <v>25</v>
      </c>
      <c r="B31" s="11" t="str">
        <f>IFERROR(INDEX(_xlfn._xlws.FILTER(Catalog!$A$6:$A$128,(Catalog!$K$6:$K$128="GENERATE ORDER")+(Catalog!$K$6:$K$128="Yes")),ROW()-6),"")</f>
        <v>DTLP-L-8H</v>
      </c>
      <c r="C31" s="11" t="str">
        <f>IF($B31="","",_xlfn.XLOOKUP($B31,Catalog!$A$6:$A$128,Catalog!$C$6:$C$128,""))</f>
        <v>Distal Tibia Locked Plate</v>
      </c>
      <c r="D31" s="11" t="str">
        <f>IF($B31="","",_xlfn.XLOOKUP($B31,Catalog!$A$6:$A$128,Catalog!$D$6:$D$128,""))</f>
        <v>Left / 8 holes</v>
      </c>
      <c r="E31" s="14">
        <f>IF($B31="","",_xlfn.XLOOKUP($B31,Catalog!$A$6:$A$128,Catalog!$F$6:$F$128,""))</f>
        <v>3</v>
      </c>
      <c r="F31" s="14"/>
      <c r="G31" s="14">
        <f>IF($B31="","",_xlfn.XLOOKUP($B31,Catalog!$A$6:$A$128,Catalog!$G$6:$G$128,""))</f>
        <v>15</v>
      </c>
      <c r="H31" s="14">
        <f>IF($B31="","",_xlfn.XLOOKUP($B31,Catalog!$A$6:$A$128,Catalog!$H$6:$H$128,""))</f>
        <v>90</v>
      </c>
      <c r="I31" s="14" t="str">
        <f t="shared" si="1"/>
        <v/>
      </c>
      <c r="J31" s="14" t="str">
        <f t="shared" si="2"/>
        <v/>
      </c>
      <c r="K31" s="14" t="str">
        <f t="shared" si="3"/>
        <v/>
      </c>
    </row>
    <row r="32" spans="1:11">
      <c r="A32" s="11">
        <f t="shared" si="0"/>
        <v>26</v>
      </c>
      <c r="B32" s="11" t="str">
        <f>IFERROR(INDEX(_xlfn._xlws.FILTER(Catalog!$A$6:$A$128,(Catalog!$K$6:$K$128="GENERATE ORDER")+(Catalog!$K$6:$K$128="Yes")),ROW()-6),"")</f>
        <v>LOCK50-MIX</v>
      </c>
      <c r="C32" s="11" t="str">
        <f>IF($B32="","",_xlfn.XLOOKUP($B32,Catalog!$A$6:$A$128,Catalog!$C$6:$C$128,""))</f>
        <v>5.0 Locked Screws for Locked Plates</v>
      </c>
      <c r="D32" s="11" t="str">
        <f>IF($B32="","",_xlfn.XLOOKUP($B32,Catalog!$A$6:$A$128,Catalog!$D$6:$D$128,""))</f>
        <v>L26-L75 mixed</v>
      </c>
      <c r="E32" s="14">
        <f>IF($B32="","",_xlfn.XLOOKUP($B32,Catalog!$A$6:$A$128,Catalog!$F$6:$F$128,""))</f>
        <v>130</v>
      </c>
      <c r="F32" s="14"/>
      <c r="G32" s="14">
        <f>IF($B32="","",_xlfn.XLOOKUP($B32,Catalog!$A$6:$A$128,Catalog!$G$6:$G$128,""))</f>
        <v>5</v>
      </c>
      <c r="H32" s="14">
        <f>IF($B32="","",_xlfn.XLOOKUP($B32,Catalog!$A$6:$A$128,Catalog!$H$6:$H$128,""))</f>
        <v>14</v>
      </c>
      <c r="I32" s="14" t="str">
        <f t="shared" si="1"/>
        <v/>
      </c>
      <c r="J32" s="14" t="str">
        <f t="shared" si="2"/>
        <v/>
      </c>
      <c r="K32" s="14" t="str">
        <f t="shared" si="3"/>
        <v/>
      </c>
    </row>
    <row r="33" spans="1:11">
      <c r="A33" s="11" t="str">
        <f t="shared" si="0"/>
        <v/>
      </c>
      <c r="B33" s="11" t="str">
        <f>IFERROR(INDEX(_xlfn._xlws.FILTER(Catalog!$A$6:$A$128,(Catalog!$K$6:$K$128="GENERATE ORDER")+(Catalog!$K$6:$K$128="Yes")),ROW()-6),"")</f>
        <v/>
      </c>
      <c r="C33" s="11"/>
      <c r="D33" s="11" t="str">
        <f>IF($B33="","",_xlfn.XLOOKUP($B33,Catalog!$A$6:$A$128,Catalog!$D$6:$D$128,""))</f>
        <v/>
      </c>
      <c r="E33" s="14" t="str">
        <f>IF($B33="","",_xlfn.XLOOKUP($B33,Catalog!$A$6:$A$128,Catalog!$F$6:$F$128,""))</f>
        <v/>
      </c>
      <c r="F33" s="14"/>
      <c r="G33" s="14" t="str">
        <f>IF($B33="","",_xlfn.XLOOKUP($B33,Catalog!$A$6:$A$128,Catalog!$G$6:$G$128,""))</f>
        <v/>
      </c>
      <c r="H33" s="14" t="str">
        <f>IF($B33="","",_xlfn.XLOOKUP($B33,Catalog!$A$6:$A$128,Catalog!$H$6:$H$128,""))</f>
        <v/>
      </c>
      <c r="I33" s="14" t="str">
        <f t="shared" si="1"/>
        <v/>
      </c>
      <c r="J33" s="14" t="str">
        <f t="shared" si="2"/>
        <v/>
      </c>
      <c r="K33" s="14" t="str">
        <f t="shared" si="3"/>
        <v/>
      </c>
    </row>
    <row r="34" spans="1:11">
      <c r="A34" s="11" t="str">
        <f t="shared" si="0"/>
        <v/>
      </c>
      <c r="B34" s="11" t="str">
        <f>IFERROR(INDEX(_xlfn._xlws.FILTER(Catalog!$A$6:$A$128,(Catalog!$K$6:$K$128="GENERATE ORDER")+(Catalog!$K$6:$K$128="Yes")),ROW()-6),"")</f>
        <v/>
      </c>
      <c r="C34" s="11" t="str">
        <f>IF($B34="","",_xlfn.XLOOKUP($B34,Catalog!$A$6:$A$128,Catalog!$C$6:$C$128,""))</f>
        <v/>
      </c>
      <c r="D34" s="11" t="str">
        <f>IF($B34="","",_xlfn.XLOOKUP($B34,Catalog!$A$6:$A$128,Catalog!$D$6:$D$128,""))</f>
        <v/>
      </c>
      <c r="E34" s="14" t="str">
        <f>IF($B34="","",_xlfn.XLOOKUP($B34,Catalog!$A$6:$A$128,Catalog!$F$6:$F$128,""))</f>
        <v/>
      </c>
      <c r="F34" s="14"/>
      <c r="G34" s="14" t="str">
        <f>IF($B34="","",_xlfn.XLOOKUP($B34,Catalog!$A$6:$A$128,Catalog!$G$6:$G$128,""))</f>
        <v/>
      </c>
      <c r="H34" s="14" t="str">
        <f>IF($B34="","",_xlfn.XLOOKUP($B34,Catalog!$A$6:$A$128,Catalog!$H$6:$H$128,""))</f>
        <v/>
      </c>
      <c r="I34" s="14" t="str">
        <f t="shared" si="1"/>
        <v/>
      </c>
      <c r="J34" s="14" t="str">
        <f t="shared" si="2"/>
        <v/>
      </c>
      <c r="K34" s="14" t="str">
        <f t="shared" si="3"/>
        <v/>
      </c>
    </row>
    <row r="35" spans="1:11">
      <c r="A35" s="11" t="str">
        <f t="shared" si="0"/>
        <v/>
      </c>
      <c r="B35" s="11" t="str">
        <f>IFERROR(INDEX(_xlfn._xlws.FILTER(Catalog!$A$6:$A$128,(Catalog!$K$6:$K$128="GENERATE ORDER")+(Catalog!$K$6:$K$128="Yes")),ROW()-6),"")</f>
        <v/>
      </c>
      <c r="C35" s="11" t="str">
        <f>IF($B35="","",_xlfn.XLOOKUP($B35,Catalog!$A$6:$A$128,Catalog!$C$6:$C$128,""))</f>
        <v/>
      </c>
      <c r="D35" s="11" t="str">
        <f>IF($B35="","",_xlfn.XLOOKUP($B35,Catalog!$A$6:$A$128,Catalog!$D$6:$D$128,""))</f>
        <v/>
      </c>
      <c r="E35" s="14" t="str">
        <f>IF($B35="","",_xlfn.XLOOKUP($B35,Catalog!$A$6:$A$128,Catalog!$F$6:$F$128,""))</f>
        <v/>
      </c>
      <c r="F35" s="14"/>
      <c r="G35" s="14" t="str">
        <f>IF($B35="","",_xlfn.XLOOKUP($B35,Catalog!$A$6:$A$128,Catalog!$G$6:$G$128,""))</f>
        <v/>
      </c>
      <c r="H35" s="14" t="str">
        <f>IF($B35="","",_xlfn.XLOOKUP($B35,Catalog!$A$6:$A$128,Catalog!$H$6:$H$128,""))</f>
        <v/>
      </c>
      <c r="I35" s="14" t="str">
        <f t="shared" si="1"/>
        <v/>
      </c>
      <c r="J35" s="14" t="str">
        <f t="shared" si="2"/>
        <v/>
      </c>
      <c r="K35" s="14" t="str">
        <f t="shared" si="3"/>
        <v/>
      </c>
    </row>
    <row r="36" spans="1:11">
      <c r="A36" t="str">
        <f t="shared" si="0"/>
        <v/>
      </c>
      <c r="B36" t="str">
        <f>IFERROR(INDEX(_xlfn._xlws.FILTER(Catalog!$A$6:$A$128,(Catalog!$K$6:$K$128="GENERATE ORDER")+(Catalog!$K$6:$K$128="Yes")),ROW()-6),"")</f>
        <v/>
      </c>
      <c r="C36" t="str">
        <f>IF($B36="","",_xlfn.XLOOKUP($B36,Catalog!$A$6:$A$128,Catalog!$C$6:$C$128,""))</f>
        <v/>
      </c>
      <c r="D36" t="str">
        <f>IF($B36="","",_xlfn.XLOOKUP($B36,Catalog!$A$6:$A$128,Catalog!$D$6:$D$128,""))</f>
        <v/>
      </c>
      <c r="E36" s="8" t="str">
        <f>IF($B36="","",_xlfn.XLOOKUP($B36,Catalog!$A$6:$A$128,Catalog!$F$6:$F$128,""))</f>
        <v/>
      </c>
      <c r="F36" s="8"/>
      <c r="G36" s="8" t="str">
        <f>IF($B36="","",_xlfn.XLOOKUP($B36,Catalog!$A$6:$A$128,Catalog!$G$6:$G$128,""))</f>
        <v/>
      </c>
      <c r="H36" s="8" t="str">
        <f>IF($B36="","",_xlfn.XLOOKUP($B36,Catalog!$A$6:$A$128,Catalog!$H$6:$H$128,""))</f>
        <v/>
      </c>
      <c r="I36" s="8" t="str">
        <f t="shared" si="1"/>
        <v/>
      </c>
      <c r="J36" s="8" t="str">
        <f t="shared" si="2"/>
        <v/>
      </c>
      <c r="K36" s="8" t="str">
        <f t="shared" si="3"/>
        <v/>
      </c>
    </row>
  </sheetData>
  <mergeCells count="2">
    <mergeCell ref="A1:K1"/>
    <mergeCell ref="A2:F2"/>
  </mergeCells>
  <conditionalFormatting sqref="F6:F35">
    <cfRule type="expression" dxfId="9" priority="1">
      <formula>F6&gt;E6</formula>
    </cfRule>
  </conditionalFormatting>
  <dataValidations count="1">
    <dataValidation type="list" sqref="B6:B35">
      <formula1>Catalog!$A$5:$A$127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workbookViewId="0">
      <selection activeCell="A1" sqref="A1:J1"/>
    </sheetView>
  </sheetViews>
  <sheetFormatPr defaultColWidth="9" defaultRowHeight="13.8"/>
  <cols>
    <col min="1" max="1" width="22" customWidth="1"/>
    <col min="2" max="2" width="14" customWidth="1"/>
    <col min="3" max="4" width="16" customWidth="1"/>
  </cols>
  <sheetData>
    <row r="1" ht="24" customHeight="1" spans="1:1">
      <c r="A1" s="4" t="s">
        <v>0</v>
      </c>
    </row>
    <row r="2" spans="1:1">
      <c r="A2" s="2" t="s">
        <v>253</v>
      </c>
    </row>
    <row r="3" spans="1:1">
      <c r="A3" s="5" t="s">
        <v>254</v>
      </c>
    </row>
    <row r="5" spans="1:2">
      <c r="A5" s="6" t="s">
        <v>255</v>
      </c>
      <c r="B5" s="6" t="s">
        <v>256</v>
      </c>
    </row>
    <row r="6" spans="1:2">
      <c r="A6" s="3" t="s">
        <v>257</v>
      </c>
      <c r="B6" s="7">
        <f>COUNTA(Catalog!$A$5:$A$127)</f>
        <v>123</v>
      </c>
    </row>
    <row r="7" spans="1:2">
      <c r="A7" s="3" t="s">
        <v>258</v>
      </c>
      <c r="B7" s="7">
        <f>SUM(Catalog!$F$5:$F$127)</f>
        <v>3508</v>
      </c>
    </row>
    <row r="8" spans="1:2">
      <c r="A8" s="3" t="s">
        <v>259</v>
      </c>
      <c r="B8" s="7" t="e">
        <f>SUM(Catalog!$I$5:$I$127)</f>
        <v>#VALUE!</v>
      </c>
    </row>
    <row r="9" spans="1:2">
      <c r="A9" s="3" t="s">
        <v>260</v>
      </c>
      <c r="B9" s="7" t="e">
        <f>SUM(Catalog!$J$5:$J$127)</f>
        <v>#VALUE!</v>
      </c>
    </row>
    <row r="12" spans="1:4">
      <c r="A12" s="6" t="s">
        <v>4</v>
      </c>
      <c r="B12" s="6" t="s">
        <v>261</v>
      </c>
      <c r="C12" s="6" t="s">
        <v>262</v>
      </c>
      <c r="D12" s="6" t="s">
        <v>263</v>
      </c>
    </row>
    <row r="13" spans="1:4">
      <c r="A13" t="s">
        <v>115</v>
      </c>
      <c r="B13" s="8">
        <f>SUMIF(Catalog!$B$5:$B$127,A12,Catalog!$F$5:$F$127)</f>
        <v>0</v>
      </c>
      <c r="C13" s="8">
        <f>SUMIF(Catalog!$B$5:$B$127,A12,Catalog!$I$5:$I$127)</f>
        <v>0</v>
      </c>
      <c r="D13" s="8">
        <f>SUMIF(Catalog!$B$5:$B$127,A12,Catalog!$J$5:$J$127)</f>
        <v>0</v>
      </c>
    </row>
    <row r="14" spans="1:4">
      <c r="A14" t="s">
        <v>143</v>
      </c>
      <c r="B14" s="8">
        <f>SUMIF(Catalog!$B$5:$B$127,A13,Catalog!$F$5:$F$127)</f>
        <v>160</v>
      </c>
      <c r="C14" s="8">
        <f>SUMIF(Catalog!$B$5:$B$127,A13,Catalog!$I$5:$I$127)</f>
        <v>1190000</v>
      </c>
      <c r="D14" s="8">
        <f>SUMIF(Catalog!$B$5:$B$127,A13,Catalog!$J$5:$J$127)</f>
        <v>5000000</v>
      </c>
    </row>
    <row r="15" spans="1:4">
      <c r="A15" t="s">
        <v>78</v>
      </c>
      <c r="B15" s="8">
        <f>SUMIF(Catalog!$B$5:$B$127,A14,Catalog!$F$5:$F$127)</f>
        <v>180</v>
      </c>
      <c r="C15" s="8">
        <f>SUMIF(Catalog!$B$5:$B$127,A14,Catalog!$I$5:$I$127)</f>
        <v>3050000</v>
      </c>
      <c r="D15" s="8">
        <f>SUMIF(Catalog!$B$5:$B$127,A14,Catalog!$J$5:$J$127)</f>
        <v>7850000</v>
      </c>
    </row>
    <row r="16" spans="1:4">
      <c r="A16" t="s">
        <v>169</v>
      </c>
      <c r="B16" s="8">
        <f>SUMIF(Catalog!$B$5:$B$127,A15,Catalog!$F$5:$F$127)</f>
        <v>65</v>
      </c>
      <c r="C16" s="8">
        <f>SUMIF(Catalog!$B$5:$B$127,A15,Catalog!$I$5:$I$127)</f>
        <v>3300000</v>
      </c>
      <c r="D16" s="8">
        <f>SUMIF(Catalog!$B$5:$B$127,A15,Catalog!$J$5:$J$127)</f>
        <v>14950000</v>
      </c>
    </row>
    <row r="17" spans="1:4">
      <c r="A17" t="s">
        <v>194</v>
      </c>
      <c r="B17" s="8">
        <f>SUMIF(Catalog!$B$5:$B$127,A16,Catalog!$F$5:$F$127)</f>
        <v>181</v>
      </c>
      <c r="C17" s="8">
        <f>SUMIF(Catalog!$B$5:$B$127,A16,Catalog!$I$5:$I$127)</f>
        <v>203300</v>
      </c>
      <c r="D17" s="8">
        <f>SUMIF(Catalog!$B$5:$B$127,A16,Catalog!$J$5:$J$127)</f>
        <v>510680</v>
      </c>
    </row>
    <row r="18" spans="1:4">
      <c r="A18" t="s">
        <v>237</v>
      </c>
      <c r="B18" s="8">
        <f>SUMIF(Catalog!$B$5:$B$127,A17,Catalog!$F$5:$F$127)</f>
        <v>72</v>
      </c>
      <c r="C18" s="8">
        <f>SUMIF(Catalog!$B$5:$B$127,A17,Catalog!$I$5:$I$127)</f>
        <v>1085</v>
      </c>
      <c r="D18" s="8">
        <f>SUMIF(Catalog!$B$5:$B$127,A17,Catalog!$J$5:$J$127)</f>
        <v>5690</v>
      </c>
    </row>
    <row r="19" spans="1:4">
      <c r="A19" t="s">
        <v>97</v>
      </c>
      <c r="B19" s="8">
        <f>SUMIF(Catalog!$B$5:$B$127,A18,Catalog!$F$5:$F$127)</f>
        <v>130</v>
      </c>
      <c r="C19" s="8">
        <f>SUMIF(Catalog!$B$5:$B$127,A18,Catalog!$I$5:$I$127)</f>
        <v>45</v>
      </c>
      <c r="D19" s="8">
        <f>SUMIF(Catalog!$B$5:$B$127,A18,Catalog!$J$5:$J$127)</f>
        <v>270</v>
      </c>
    </row>
    <row r="20" spans="1:4">
      <c r="A20" t="s">
        <v>52</v>
      </c>
      <c r="B20" s="8">
        <f>SUMIF(Catalog!$B$5:$B$127,A19,Catalog!$F$5:$F$127)</f>
        <v>450</v>
      </c>
      <c r="C20" s="8">
        <f>SUMIF(Catalog!$B$5:$B$127,A19,Catalog!$I$5:$I$127)</f>
        <v>6120000</v>
      </c>
      <c r="D20" s="8">
        <f>SUMIF(Catalog!$B$5:$B$127,A19,Catalog!$J$5:$J$127)</f>
        <v>20800000</v>
      </c>
    </row>
    <row r="21" spans="1:4">
      <c r="A21" t="s">
        <v>107</v>
      </c>
      <c r="B21" s="8">
        <f>SUMIF(Catalog!$B$5:$B$127,A20,Catalog!$F$5:$F$127)</f>
        <v>170</v>
      </c>
      <c r="C21" s="8">
        <f>SUMIF(Catalog!$B$5:$B$127,A20,Catalog!$I$5:$I$127)</f>
        <v>4320000</v>
      </c>
      <c r="D21" s="8">
        <f>SUMIF(Catalog!$B$5:$B$127,A20,Catalog!$J$5:$J$127)</f>
        <v>14800000</v>
      </c>
    </row>
    <row r="22" spans="1:4">
      <c r="A22" t="s">
        <v>15</v>
      </c>
      <c r="B22" s="8">
        <f>SUMIF(Catalog!$B$5:$B$127,A21,Catalog!$F$5:$F$127)</f>
        <v>200</v>
      </c>
      <c r="C22" s="8">
        <f>SUMIF(Catalog!$B$5:$B$127,A21,Catalog!$I$5:$I$127)</f>
        <v>1800000</v>
      </c>
      <c r="D22" s="8">
        <f>SUMIF(Catalog!$B$5:$B$127,A21,Catalog!$J$5:$J$127)</f>
        <v>7000000</v>
      </c>
    </row>
    <row r="23" spans="1:4">
      <c r="A23" t="s">
        <v>242</v>
      </c>
      <c r="B23" s="8">
        <f>SUMIF(Catalog!$B$5:$B$127,A22,Catalog!$F$5:$F$127)</f>
        <v>1460</v>
      </c>
      <c r="C23" s="8" t="e">
        <f>SUMIF(Catalog!$B$5:$B$127,A22,Catalog!$I$5:$I$127)</f>
        <v>#VALUE!</v>
      </c>
      <c r="D23" s="8" t="e">
        <f>SUMIF(Catalog!$B$5:$B$127,A22,Catalog!$J$5:$J$127)</f>
        <v>#VALUE!</v>
      </c>
    </row>
    <row r="24" spans="1:4">
      <c r="A24" t="s">
        <v>85</v>
      </c>
      <c r="B24" s="8">
        <f>SUMIF(Catalog!$B$5:$B$127,A23,Catalog!$F$5:$F$127)</f>
        <v>0</v>
      </c>
      <c r="C24" s="8">
        <f>SUMIF(Catalog!$B$5:$B$127,A23,Catalog!$I$5:$I$127)</f>
        <v>0</v>
      </c>
      <c r="D24" s="8">
        <f>SUMIF(Catalog!$B$5:$B$127,A23,Catalog!$J$5:$J$127)</f>
        <v>0</v>
      </c>
    </row>
  </sheetData>
  <mergeCells count="3">
    <mergeCell ref="A1:J1"/>
    <mergeCell ref="A1:F1"/>
    <mergeCell ref="A2:F2"/>
  </mergeCells>
  <pageMargins left="0.7" right="0.7" top="0.75" bottom="0.75" header="0.3" footer="0.3"/>
  <headerFooter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A1" sqref="A1:J1"/>
    </sheetView>
  </sheetViews>
  <sheetFormatPr defaultColWidth="9" defaultRowHeight="13.8" outlineLevelRow="7"/>
  <cols>
    <col min="1" max="1" width="18" customWidth="1"/>
    <col min="2" max="2" width="80" customWidth="1"/>
  </cols>
  <sheetData>
    <row r="1" ht="21" spans="1:1">
      <c r="A1" s="1" t="s">
        <v>0</v>
      </c>
    </row>
    <row r="2" spans="1:1">
      <c r="A2" s="2" t="s">
        <v>264</v>
      </c>
    </row>
    <row r="4" spans="1:2">
      <c r="A4" s="3" t="s">
        <v>265</v>
      </c>
      <c r="B4" t="s">
        <v>266</v>
      </c>
    </row>
    <row r="5" spans="1:2">
      <c r="A5" s="3" t="s">
        <v>267</v>
      </c>
      <c r="B5" t="s">
        <v>268</v>
      </c>
    </row>
    <row r="6" spans="1:2">
      <c r="A6" s="3" t="s">
        <v>269</v>
      </c>
      <c r="B6" t="s">
        <v>270</v>
      </c>
    </row>
    <row r="7" spans="1:2">
      <c r="A7" s="3" t="s">
        <v>269</v>
      </c>
      <c r="B7" t="s">
        <v>271</v>
      </c>
    </row>
    <row r="8" spans="1:2">
      <c r="A8" s="3" t="s">
        <v>272</v>
      </c>
      <c r="B8" t="s">
        <v>273</v>
      </c>
    </row>
  </sheetData>
  <mergeCells count="2">
    <mergeCell ref="A1:D1"/>
    <mergeCell ref="A1: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Catalog</vt:lpstr>
      <vt:lpstr>Order</vt:lpstr>
      <vt:lpstr>Summary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2026-04-09T17:20:00Z</dcterms:created>
  <dcterms:modified xsi:type="dcterms:W3CDTF">2026-04-09T18:48:16Z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FF28C11DA2C24AD88E5E2EAC8C34060C_12</vt:lpwstr>
  </property>
  <property fmtid="{D5CDD505-2E9C-101B-9397-08002B2CF9AE}" pid="3" name="KSOProductBuildVer">
    <vt:lpwstr>1033-12.2.0.23155</vt:lpwstr>
  </property>
</Properties>
</file>